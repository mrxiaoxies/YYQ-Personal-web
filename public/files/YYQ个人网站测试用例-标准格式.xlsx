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290413e57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个人网站系统" sheetId="1" r:id="R7a6e9988b25147fa"/>
    <x:sheet xmlns:r="http://schemas.openxmlformats.org/officeDocument/2006/relationships" name="案例汇总" sheetId="2" r:id="Rfd96f69082d545aa"/>
    <x:sheet xmlns:r="http://schemas.openxmlformats.org/officeDocument/2006/relationships" name="编写说明" sheetId="3" r:id="R7208e4f597b4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0"/>
      <x:color rgb="FF000000"/>
      <x:name val="Carlito"/>
    </x:font>
    <x:font>
      <x:sz val="9"/>
      <x:color rgb="FF000000"/>
      <x:name val="Carlito"/>
    </x:font>
    <x:font>
      <x:b/>
      <x:sz val="10"/>
      <x:color rgb="FF000000"/>
      <x:name val="Microsoft YaHei"/>
    </x:font>
    <x:font>
      <x:sz val="9"/>
      <x:color rgb="FF000000"/>
      <x:name val="Microsoft YaHei"/>
    </x:font>
    <x:font>
      <x:b/>
      <x:sz val="18"/>
      <x:color rgb="FFFFFFFF"/>
      <x:name val="Carlito"/>
    </x:font>
    <x:font>
      <x:b/>
      <x:sz val="11"/>
      <x:color rgb="FF000000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b/>
      <x:sz val="11"/>
      <x:color rgb="FF0000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E2F3EC"/>
      </x:patternFill>
    </x:fill>
    <x:fill>
      <x:patternFill patternType="solid">
        <x:fgColor rgb="FF00A36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200" fontId="4" fillId="3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ca3034ec6446b" /><Relationship Type="http://schemas.openxmlformats.org/officeDocument/2006/relationships/theme" Target="/xl/theme/theme1.xml" Id="Rf0e609e7ffe04064" /><Relationship Type="http://schemas.openxmlformats.org/officeDocument/2006/relationships/sharedStrings" Target="/xl/sharedStrings.xml" Id="R2b392ae035d543dc" /><Relationship Type="http://schemas.openxmlformats.org/officeDocument/2006/relationships/worksheet" Target="/xl/worksheets/sheet1.xml" Id="R7a6e9988b25147fa" /><Relationship Type="http://schemas.openxmlformats.org/officeDocument/2006/relationships/worksheet" Target="/xl/worksheets/sheet2.xml" Id="Rfd96f69082d545aa" /><Relationship Type="http://schemas.openxmlformats.org/officeDocument/2006/relationships/worksheet" Target="/xl/worksheets/sheet3.xml" Id="R7208e4f597b44cad" /></Relationships>
</file>

<file path=xl/tables/table1.xml><?xml version="1.0" encoding="utf-8"?>
<x:table xmlns:x="http://schemas.openxmlformats.org/spreadsheetml/2006/main" id="1" name="YYQWebsiteCases" displayName="YYQWebsiteCases" ref="A1:O74" headerRowCount="1" totalsRowCount="0" totalsRowShown="0">
  <x:autoFilter ref="A1:O74"/>
  <x:tableColumns count="15">
    <x:tableColumn id="1" name="系统名称"/>
    <x:tableColumn id="2" name="功能模块"/>
    <x:tableColumn id="3" name="功能点"/>
    <x:tableColumn id="4" name="测试案例集"/>
    <x:tableColumn id="5" name="测试需求编号"/>
    <x:tableColumn id="6" name="案例编号"/>
    <x:tableColumn id="7" name="案例名称"/>
    <x:tableColumn id="8" name="案例描述"/>
    <x:tableColumn id="9" name="案例性质"/>
    <x:tableColumn id="10" name="步骤名"/>
    <x:tableColumn id="11" name="步骤描述"/>
    <x:tableColumn id="12" name="预期结果"/>
    <x:tableColumn id="13" name="案例编写人"/>
    <x:tableColumn id="14" name="实施单元编号"/>
    <x:tableColumn id="15" name="风险编号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9f269db4f2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34" hidden="0" customWidth="1"/>
    <x:col min="5" max="5" width="20" hidden="0" customWidth="1"/>
    <x:col min="6" max="6" width="14" hidden="0" customWidth="1"/>
    <x:col min="7" max="7" width="30" hidden="0" customWidth="1"/>
    <x:col min="8" max="8" width="30" hidden="0" customWidth="1"/>
    <x:col min="9" max="9" width="13" hidden="0" customWidth="1"/>
    <x:col min="10" max="10" width="14" hidden="0" customWidth="1"/>
    <x:col min="11" max="11" width="48" hidden="0" customWidth="1"/>
    <x:col min="12" max="12" width="42" hidden="0" customWidth="1"/>
    <x:col min="13" max="13" width="16" hidden="0" customWidth="1"/>
    <x:col min="14" max="14" width="20" hidden="0" customWidth="1"/>
    <x:col min="15" max="15" width="14" hidden="0" customWidth="1"/>
  </x:cols>
  <x:sheetData>
    <x:row r="1" ht="34" customHeight="1">
      <x:c r="A1" s="12" t="str">
        <x:v>系统名称</x:v>
      </x:c>
      <x:c r="B1" s="12" t="str">
        <x:v>功能模块</x:v>
      </x:c>
      <x:c r="C1" s="12" t="str">
        <x:v>功能点</x:v>
      </x:c>
      <x:c r="D1" s="12" t="str">
        <x:v>测试案例集</x:v>
      </x:c>
      <x:c r="E1" s="12" t="str">
        <x:v>测试需求编号</x:v>
      </x:c>
      <x:c r="F1" s="12" t="str">
        <x:v>案例编号</x:v>
      </x:c>
      <x:c r="G1" s="12" t="str">
        <x:v>案例名称</x:v>
      </x:c>
      <x:c r="H1" s="12" t="str">
        <x:v>案例描述</x:v>
      </x:c>
      <x:c r="I1" s="12" t="str">
        <x:v>案例性质</x:v>
      </x:c>
      <x:c r="J1" s="12" t="str">
        <x:v>步骤名</x:v>
      </x:c>
      <x:c r="K1" s="12" t="str">
        <x:v>步骤描述</x:v>
      </x:c>
      <x:c r="L1" s="12" t="str">
        <x:v>预期结果</x:v>
      </x:c>
      <x:c r="M1" s="12" t="str">
        <x:v>案例编写人</x:v>
      </x:c>
      <x:c r="N1" s="12" t="str">
        <x:v>实施单元编号</x:v>
      </x:c>
      <x:c r="O1" s="12" t="str">
        <x:v>风险编号</x:v>
      </x:c>
    </x:row>
    <x:row r="2" ht="68" customHeight="1">
      <x:c r="A2" s="14" t="str">
        <x:v>YYQ个人网站</x:v>
      </x:c>
      <x:c r="B2" s="14" t="str">
        <x:v>首页</x:v>
      </x:c>
      <x:c r="C2" s="14" t="str">
        <x:v>页面展示</x:v>
      </x:c>
      <x:c r="D2" s="14" t="str">
        <x:v>【YYQ个人网站】-首页测试案例集</x:v>
      </x:c>
      <x:c r="E2" s="15" t="str">
        <x:v>YYQ20260720001</x:v>
      </x:c>
      <x:c r="F2" s="15" t="str">
        <x:v>WEB-001</x:v>
      </x:c>
      <x:c r="G2" s="13" t="str">
        <x:v>首次访问首页正常展示</x:v>
      </x:c>
      <x:c r="H2" s="16" t="str">
        <x:v>页面展示-首次访问首页正常展示</x:v>
      </x:c>
      <x:c r="I2" s="14" t="str">
        <x:v>正常案例</x:v>
      </x:c>
      <x:c r="J2" s="14" t="str">
        <x:v>执行测试</x:v>
      </x:c>
      <x:c r="K2" s="13" t="str">
        <x:v>1. 准备：浏览器无缓存，站点可访问
2. 打开站点根地址
3. 等待首屏加载完成
4. 测试数据：Chrome 最新版；桌面 1440×900</x:v>
      </x:c>
      <x:c r="L2" s="13" t="str">
        <x:v>页面无白屏或报错；品牌名、主标题、两个首屏按钮完整可见；背景图加载成功</x:v>
      </x:c>
      <x:c r="M2" s="14" t="str">
        <x:v>杨烨齐</x:v>
      </x:c>
      <x:c r="N2" s="15" t="str">
        <x:v>YYQ-WEB
v0.1.22</x:v>
      </x:c>
      <x:c r="O2" s="15" t="str">
        <x:v>R-P0</x:v>
      </x:c>
    </x:row>
    <x:row r="3" ht="68" customHeight="1">
      <x:c r="A3" s="14" t="str">
        <x:v>YYQ个人网站</x:v>
      </x:c>
      <x:c r="B3" s="14" t="str">
        <x:v>首页</x:v>
      </x:c>
      <x:c r="C3" s="14" t="str">
        <x:v>页面展示</x:v>
      </x:c>
      <x:c r="D3" s="14" t="str">
        <x:v>【YYQ个人网站】-首页测试案例集</x:v>
      </x:c>
      <x:c r="E3" s="15" t="str">
        <x:v>YYQ20260720001</x:v>
      </x:c>
      <x:c r="F3" s="15" t="str">
        <x:v>WEB-002</x:v>
      </x:c>
      <x:c r="G3" s="13" t="str">
        <x:v>页面核心区块顺序正确</x:v>
      </x:c>
      <x:c r="H3" s="16" t="str">
        <x:v>页面展示-页面核心区块顺序正确</x:v>
      </x:c>
      <x:c r="I3" s="14" t="str">
        <x:v>正常案例</x:v>
      </x:c>
      <x:c r="J3" s="14" t="str">
        <x:v>执行测试</x:v>
      </x:c>
      <x:c r="K3" s="13" t="str">
        <x:v>1. 准备：已打开首页
2. 从页面顶部向下滚动至底部</x:v>
      </x:c>
      <x:c r="L3" s="13" t="str">
        <x:v>依次看到 Home、Codex、Skills、Resume、Reach Me；区块无重复、缺失或遮挡</x:v>
      </x:c>
      <x:c r="M3" s="14" t="str">
        <x:v>杨烨齐</x:v>
      </x:c>
      <x:c r="N3" s="15" t="str">
        <x:v>YYQ-WEB
v0.1.22</x:v>
      </x:c>
      <x:c r="O3" s="15" t="str">
        <x:v>R-P1</x:v>
      </x:c>
    </x:row>
    <x:row r="4" ht="68" customHeight="1">
      <x:c r="A4" s="14" t="str">
        <x:v>YYQ个人网站</x:v>
      </x:c>
      <x:c r="B4" s="14" t="str">
        <x:v>首页</x:v>
      </x:c>
      <x:c r="C4" s="14" t="str">
        <x:v>页面展示</x:v>
      </x:c>
      <x:c r="D4" s="14" t="str">
        <x:v>【YYQ个人网站】-首页测试案例集</x:v>
      </x:c>
      <x:c r="E4" s="15" t="str">
        <x:v>YYQ20260720001</x:v>
      </x:c>
      <x:c r="F4" s="15" t="str">
        <x:v>WEB-003</x:v>
      </x:c>
      <x:c r="G4" s="13" t="str">
        <x:v>刷新后页面仍可访问</x:v>
      </x:c>
      <x:c r="H4" s="16" t="str">
        <x:v>页面展示-刷新后页面仍可访问</x:v>
      </x:c>
      <x:c r="I4" s="14" t="str">
        <x:v>正常案例</x:v>
      </x:c>
      <x:c r="J4" s="14" t="str">
        <x:v>执行测试</x:v>
      </x:c>
      <x:c r="K4" s="13" t="str">
        <x:v>1. 准备：已打开任意首页锚点
2. 在地址含 #skills 时刷新
3. 再在根地址刷新
4. 测试数据：#skills</x:v>
      </x:c>
      <x:c r="L4" s="13" t="str">
        <x:v>两次刷新均返回站点页面，不出现 404；含锚点时定位到对应区块</x:v>
      </x:c>
      <x:c r="M4" s="14" t="str">
        <x:v>杨烨齐</x:v>
      </x:c>
      <x:c r="N4" s="15" t="str">
        <x:v>YYQ-WEB
v0.1.22</x:v>
      </x:c>
      <x:c r="O4" s="15" t="str">
        <x:v>R-P0</x:v>
      </x:c>
    </x:row>
    <x:row r="5" ht="68" customHeight="1">
      <x:c r="A5" s="14" t="str">
        <x:v>YYQ个人网站</x:v>
      </x:c>
      <x:c r="B5" s="14" t="str">
        <x:v>首页</x:v>
      </x:c>
      <x:c r="C5" s="14" t="str">
        <x:v>页面展示</x:v>
      </x:c>
      <x:c r="D5" s="14" t="str">
        <x:v>【YYQ个人网站】-首页测试案例集</x:v>
      </x:c>
      <x:c r="E5" s="15" t="str">
        <x:v>YYQ20260720001</x:v>
      </x:c>
      <x:c r="F5" s="15" t="str">
        <x:v>WEB-004</x:v>
      </x:c>
      <x:c r="G5" s="13" t="str">
        <x:v>中文与英文文案显示正确</x:v>
      </x:c>
      <x:c r="H5" s="16" t="str">
        <x:v>页面展示-中文与英文文案显示正确</x:v>
      </x:c>
      <x:c r="I5" s="14" t="str">
        <x:v>正常案例</x:v>
      </x:c>
      <x:c r="J5" s="14" t="str">
        <x:v>执行测试</x:v>
      </x:c>
      <x:c r="K5" s="13" t="str">
        <x:v>1. 准备：已打开首页
2. 检查首屏、项目、技能、履历和联系区文字</x:v>
      </x:c>
      <x:c r="L5" s="13" t="str">
        <x:v>文字无乱码、缺字、方框字符或异常换行；中英文字体清晰可读</x:v>
      </x:c>
      <x:c r="M5" s="14" t="str">
        <x:v>杨烨齐</x:v>
      </x:c>
      <x:c r="N5" s="15" t="str">
        <x:v>YYQ-WEB
v0.1.22</x:v>
      </x:c>
      <x:c r="O5" s="15" t="str">
        <x:v>R-P1</x:v>
      </x:c>
    </x:row>
    <x:row r="6" ht="68" customHeight="1">
      <x:c r="A6" s="14" t="str">
        <x:v>YYQ个人网站</x:v>
      </x:c>
      <x:c r="B6" s="14" t="str">
        <x:v>首页</x:v>
      </x:c>
      <x:c r="C6" s="14" t="str">
        <x:v>页面展示</x:v>
      </x:c>
      <x:c r="D6" s="14" t="str">
        <x:v>【YYQ个人网站】-首页测试案例集</x:v>
      </x:c>
      <x:c r="E6" s="15" t="str">
        <x:v>YYQ20260720001</x:v>
      </x:c>
      <x:c r="F6" s="15" t="str">
        <x:v>WEB-005</x:v>
      </x:c>
      <x:c r="G6" s="13" t="str">
        <x:v>玻璃面板与前景文字可读</x:v>
      </x:c>
      <x:c r="H6" s="16" t="str">
        <x:v>页面展示-玻璃面板与前景文字可读</x:v>
      </x:c>
      <x:c r="I6" s="14" t="str">
        <x:v>正常案例</x:v>
      </x:c>
      <x:c r="J6" s="14" t="str">
        <x:v>执行测试</x:v>
      </x:c>
      <x:c r="K6" s="13" t="str">
        <x:v>1. 准备：已打开首页
2. 在四季背景的不同滚动位置检查卡片和正文
3. 测试数据：春、夏、秋、冬背景</x:v>
      </x:c>
      <x:c r="L6" s="13" t="str">
        <x:v>卡片边界清晰；正文与背景对比度足够；文字不被光效、雾效和落叶遮挡</x:v>
      </x:c>
      <x:c r="M6" s="14" t="str">
        <x:v>杨烨齐</x:v>
      </x:c>
      <x:c r="N6" s="15" t="str">
        <x:v>YYQ-WEB
v0.1.22</x:v>
      </x:c>
      <x:c r="O6" s="15" t="str">
        <x:v>R-P1</x:v>
      </x:c>
    </x:row>
    <x:row r="7" ht="68" customHeight="1">
      <x:c r="A7" s="14" t="str">
        <x:v>YYQ个人网站</x:v>
      </x:c>
      <x:c r="B7" s="14" t="str">
        <x:v>导航</x:v>
      </x:c>
      <x:c r="C7" s="14" t="str">
        <x:v>页面定位</x:v>
      </x:c>
      <x:c r="D7" s="14" t="str">
        <x:v>【YYQ个人网站】-导航测试案例集</x:v>
      </x:c>
      <x:c r="E7" s="15" t="str">
        <x:v>YYQ20260720002</x:v>
      </x:c>
      <x:c r="F7" s="15" t="str">
        <x:v>NAV-001</x:v>
      </x:c>
      <x:c r="G7" s="13" t="str">
        <x:v>品牌链接返回首页</x:v>
      </x:c>
      <x:c r="H7" s="16" t="str">
        <x:v>页面定位-品牌链接返回首页</x:v>
      </x:c>
      <x:c r="I7" s="14" t="str">
        <x:v>正常案例</x:v>
      </x:c>
      <x:c r="J7" s="14" t="str">
        <x:v>执行测试</x:v>
      </x:c>
      <x:c r="K7" s="13" t="str">
        <x:v>1. 准备：页面位于中部或底部
2. 点击左上角 Yang Yeqi 品牌链接</x:v>
      </x:c>
      <x:c r="L7" s="13" t="str">
        <x:v>URL 锚点变为 #home，页面平滑或直接回到首页首屏</x:v>
      </x:c>
      <x:c r="M7" s="14" t="str">
        <x:v>杨烨齐</x:v>
      </x:c>
      <x:c r="N7" s="15" t="str">
        <x:v>YYQ-WEB
v0.1.22</x:v>
      </x:c>
      <x:c r="O7" s="15" t="str">
        <x:v>R-P1</x:v>
      </x:c>
    </x:row>
    <x:row r="8" ht="68" customHeight="1">
      <x:c r="A8" s="14" t="str">
        <x:v>YYQ个人网站</x:v>
      </x:c>
      <x:c r="B8" s="14" t="str">
        <x:v>导航</x:v>
      </x:c>
      <x:c r="C8" s="14" t="str">
        <x:v>页面定位</x:v>
      </x:c>
      <x:c r="D8" s="14" t="str">
        <x:v>【YYQ个人网站】-导航测试案例集</x:v>
      </x:c>
      <x:c r="E8" s="15" t="str">
        <x:v>YYQ20260720002</x:v>
      </x:c>
      <x:c r="F8" s="15" t="str">
        <x:v>NAV-002</x:v>
      </x:c>
      <x:c r="G8" s="13" t="str">
        <x:v>Home 导航定位正确</x:v>
      </x:c>
      <x:c r="H8" s="16" t="str">
        <x:v>页面定位-Home 导航定位正确</x:v>
      </x:c>
      <x:c r="I8" s="14" t="str">
        <x:v>正常案例</x:v>
      </x:c>
      <x:c r="J8" s="14" t="str">
        <x:v>执行测试</x:v>
      </x:c>
      <x:c r="K8" s="13" t="str">
        <x:v>1. 准备：桌面宽度 ≥768px
2. 点击导航 Home</x:v>
      </x:c>
      <x:c r="L8" s="13" t="str">
        <x:v>定位到 #home，首屏区域可见</x:v>
      </x:c>
      <x:c r="M8" s="14" t="str">
        <x:v>杨烨齐</x:v>
      </x:c>
      <x:c r="N8" s="15" t="str">
        <x:v>YYQ-WEB
v0.1.22</x:v>
      </x:c>
      <x:c r="O8" s="15" t="str">
        <x:v>R-P1</x:v>
      </x:c>
    </x:row>
    <x:row r="9" ht="68" customHeight="1">
      <x:c r="A9" s="14" t="str">
        <x:v>YYQ个人网站</x:v>
      </x:c>
      <x:c r="B9" s="14" t="str">
        <x:v>导航</x:v>
      </x:c>
      <x:c r="C9" s="14" t="str">
        <x:v>页面定位</x:v>
      </x:c>
      <x:c r="D9" s="14" t="str">
        <x:v>【YYQ个人网站】-导航测试案例集</x:v>
      </x:c>
      <x:c r="E9" s="15" t="str">
        <x:v>YYQ20260720002</x:v>
      </x:c>
      <x:c r="F9" s="15" t="str">
        <x:v>NAV-003</x:v>
      </x:c>
      <x:c r="G9" s="13" t="str">
        <x:v>Codex 导航定位正确</x:v>
      </x:c>
      <x:c r="H9" s="16" t="str">
        <x:v>页面定位-Codex 导航定位正确</x:v>
      </x:c>
      <x:c r="I9" s="14" t="str">
        <x:v>正常案例</x:v>
      </x:c>
      <x:c r="J9" s="14" t="str">
        <x:v>执行测试</x:v>
      </x:c>
      <x:c r="K9" s="13" t="str">
        <x:v>1. 准备：桌面宽度 ≥768px
2. 点击导航 Codex</x:v>
      </x:c>
      <x:c r="L9" s="13" t="str">
        <x:v>定位到 #codex，项目进度板标题与卡片可见</x:v>
      </x:c>
      <x:c r="M9" s="14" t="str">
        <x:v>杨烨齐</x:v>
      </x:c>
      <x:c r="N9" s="15" t="str">
        <x:v>YYQ-WEB
v0.1.22</x:v>
      </x:c>
      <x:c r="O9" s="15" t="str">
        <x:v>R-P1</x:v>
      </x:c>
    </x:row>
    <x:row r="10" ht="68" customHeight="1">
      <x:c r="A10" s="14" t="str">
        <x:v>YYQ个人网站</x:v>
      </x:c>
      <x:c r="B10" s="14" t="str">
        <x:v>导航</x:v>
      </x:c>
      <x:c r="C10" s="14" t="str">
        <x:v>页面定位</x:v>
      </x:c>
      <x:c r="D10" s="14" t="str">
        <x:v>【YYQ个人网站】-导航测试案例集</x:v>
      </x:c>
      <x:c r="E10" s="15" t="str">
        <x:v>YYQ20260720002</x:v>
      </x:c>
      <x:c r="F10" s="15" t="str">
        <x:v>NAV-004</x:v>
      </x:c>
      <x:c r="G10" s="13" t="str">
        <x:v>Skills 导航定位正确</x:v>
      </x:c>
      <x:c r="H10" s="16" t="str">
        <x:v>页面定位-Skills 导航定位正确</x:v>
      </x:c>
      <x:c r="I10" s="14" t="str">
        <x:v>正常案例</x:v>
      </x:c>
      <x:c r="J10" s="14" t="str">
        <x:v>执行测试</x:v>
      </x:c>
      <x:c r="K10" s="13" t="str">
        <x:v>1. 准备：桌面宽度 ≥768px
2. 点击导航 Skills</x:v>
      </x:c>
      <x:c r="L10" s="13" t="str">
        <x:v>定位到 #skills，测试能力与工具栈内容可见</x:v>
      </x:c>
      <x:c r="M10" s="14" t="str">
        <x:v>杨烨齐</x:v>
      </x:c>
      <x:c r="N10" s="15" t="str">
        <x:v>YYQ-WEB
v0.1.22</x:v>
      </x:c>
      <x:c r="O10" s="15" t="str">
        <x:v>R-P1</x:v>
      </x:c>
    </x:row>
    <x:row r="11" ht="68" customHeight="1">
      <x:c r="A11" s="14" t="str">
        <x:v>YYQ个人网站</x:v>
      </x:c>
      <x:c r="B11" s="14" t="str">
        <x:v>导航</x:v>
      </x:c>
      <x:c r="C11" s="14" t="str">
        <x:v>页面定位</x:v>
      </x:c>
      <x:c r="D11" s="14" t="str">
        <x:v>【YYQ个人网站】-导航测试案例集</x:v>
      </x:c>
      <x:c r="E11" s="15" t="str">
        <x:v>YYQ20260720002</x:v>
      </x:c>
      <x:c r="F11" s="15" t="str">
        <x:v>NAV-005</x:v>
      </x:c>
      <x:c r="G11" s="13" t="str">
        <x:v>Resume 导航定位正确</x:v>
      </x:c>
      <x:c r="H11" s="16" t="str">
        <x:v>页面定位-Resume 导航定位正确</x:v>
      </x:c>
      <x:c r="I11" s="14" t="str">
        <x:v>正常案例</x:v>
      </x:c>
      <x:c r="J11" s="14" t="str">
        <x:v>执行测试</x:v>
      </x:c>
      <x:c r="K11" s="13" t="str">
        <x:v>1. 准备：桌面宽度 ≥768px
2. 点击导航 Resume</x:v>
      </x:c>
      <x:c r="L11" s="13" t="str">
        <x:v>定位到 #resume，公司与项目经历内容可见</x:v>
      </x:c>
      <x:c r="M11" s="14" t="str">
        <x:v>杨烨齐</x:v>
      </x:c>
      <x:c r="N11" s="15" t="str">
        <x:v>YYQ-WEB
v0.1.22</x:v>
      </x:c>
      <x:c r="O11" s="15" t="str">
        <x:v>R-P1</x:v>
      </x:c>
    </x:row>
    <x:row r="12" ht="68" customHeight="1">
      <x:c r="A12" s="14" t="str">
        <x:v>YYQ个人网站</x:v>
      </x:c>
      <x:c r="B12" s="14" t="str">
        <x:v>导航</x:v>
      </x:c>
      <x:c r="C12" s="14" t="str">
        <x:v>页面定位</x:v>
      </x:c>
      <x:c r="D12" s="14" t="str">
        <x:v>【YYQ个人网站】-导航测试案例集</x:v>
      </x:c>
      <x:c r="E12" s="15" t="str">
        <x:v>YYQ20260720002</x:v>
      </x:c>
      <x:c r="F12" s="15" t="str">
        <x:v>NAV-006</x:v>
      </x:c>
      <x:c r="G12" s="13" t="str">
        <x:v>Reach Me 导航定位正确</x:v>
      </x:c>
      <x:c r="H12" s="16" t="str">
        <x:v>页面定位-Reach Me 导航定位正确</x:v>
      </x:c>
      <x:c r="I12" s="14" t="str">
        <x:v>正常案例</x:v>
      </x:c>
      <x:c r="J12" s="14" t="str">
        <x:v>执行测试</x:v>
      </x:c>
      <x:c r="K12" s="13" t="str">
        <x:v>1. 准备：桌面宽度 ≥768px
2. 点击导航 Reach Me</x:v>
      </x:c>
      <x:c r="L12" s="13" t="str">
        <x:v>定位到 #contact，姓名、所在地、电话和邮箱可见</x:v>
      </x:c>
      <x:c r="M12" s="14" t="str">
        <x:v>杨烨齐</x:v>
      </x:c>
      <x:c r="N12" s="15" t="str">
        <x:v>YYQ-WEB
v0.1.22</x:v>
      </x:c>
      <x:c r="O12" s="15" t="str">
        <x:v>R-P1</x:v>
      </x:c>
    </x:row>
    <x:row r="13" ht="68" customHeight="1">
      <x:c r="A13" s="14" t="str">
        <x:v>YYQ个人网站</x:v>
      </x:c>
      <x:c r="B13" s="14" t="str">
        <x:v>导航</x:v>
      </x:c>
      <x:c r="C13" s="14" t="str">
        <x:v>页面定位</x:v>
      </x:c>
      <x:c r="D13" s="14" t="str">
        <x:v>【YYQ个人网站】-导航测试案例集</x:v>
      </x:c>
      <x:c r="E13" s="15" t="str">
        <x:v>YYQ20260720002</x:v>
      </x:c>
      <x:c r="F13" s="15" t="str">
        <x:v>NAV-007</x:v>
      </x:c>
      <x:c r="G13" s="13" t="str">
        <x:v>移动端隐藏长导航但保留联系入口</x:v>
      </x:c>
      <x:c r="H13" s="16" t="str">
        <x:v>页面定位-移动端隐藏长导航但保留联系入口</x:v>
      </x:c>
      <x:c r="I13" s="14" t="str">
        <x:v>正常案例</x:v>
      </x:c>
      <x:c r="J13" s="14" t="str">
        <x:v>执行测试</x:v>
      </x:c>
      <x:c r="K13" s="13" t="str">
        <x:v>1. 准备：视口宽度 &lt;768px
2. 打开首页并观察顶部导航
3. 测试数据：iPhone 13：390×844</x:v>
      </x:c>
      <x:c r="L13" s="13" t="str">
        <x:v>Home/Codex/Skills/Resume/Reach Me 长导航隐藏；品牌与“联系我”按钮可见且不重叠</x:v>
      </x:c>
      <x:c r="M13" s="14" t="str">
        <x:v>杨烨齐</x:v>
      </x:c>
      <x:c r="N13" s="15" t="str">
        <x:v>YYQ-WEB
v0.1.22</x:v>
      </x:c>
      <x:c r="O13" s="15" t="str">
        <x:v>R-P1</x:v>
      </x:c>
    </x:row>
    <x:row r="14" ht="68" customHeight="1">
      <x:c r="A14" s="14" t="str">
        <x:v>YYQ个人网站</x:v>
      </x:c>
      <x:c r="B14" s="14" t="str">
        <x:v>项目进度</x:v>
      </x:c>
      <x:c r="C14" s="14" t="str">
        <x:v>项目时间轴</x:v>
      </x:c>
      <x:c r="D14" s="14" t="str">
        <x:v>【YYQ个人网站】-项目进度测试案例集</x:v>
      </x:c>
      <x:c r="E14" s="15" t="str">
        <x:v>YYQ20260720003</x:v>
      </x:c>
      <x:c r="F14" s="15" t="str">
        <x:v>PRJ-001</x:v>
      </x:c>
      <x:c r="G14" s="13" t="str">
        <x:v>首屏按钮进入项目时间轴</x:v>
      </x:c>
      <x:c r="H14" s="16" t="str">
        <x:v>项目时间轴-首屏按钮进入项目时间轴</x:v>
      </x:c>
      <x:c r="I14" s="14" t="str">
        <x:v>正常案例</x:v>
      </x:c>
      <x:c r="J14" s="14" t="str">
        <x:v>执行测试</x:v>
      </x:c>
      <x:c r="K14" s="13" t="str">
        <x:v>1. 准备：已打开首页
2. 点击“查看项目进度”</x:v>
      </x:c>
      <x:c r="L14" s="13" t="str">
        <x:v>URL 变为 #projects；显示项目完整记录与时间轴页面</x:v>
      </x:c>
      <x:c r="M14" s="14" t="str">
        <x:v>杨烨齐</x:v>
      </x:c>
      <x:c r="N14" s="15" t="str">
        <x:v>YYQ-WEB
v0.1.22</x:v>
      </x:c>
      <x:c r="O14" s="15" t="str">
        <x:v>R-P0</x:v>
      </x:c>
    </x:row>
    <x:row r="15" ht="68" customHeight="1">
      <x:c r="A15" s="14" t="str">
        <x:v>YYQ个人网站</x:v>
      </x:c>
      <x:c r="B15" s="14" t="str">
        <x:v>项目进度</x:v>
      </x:c>
      <x:c r="C15" s="14" t="str">
        <x:v>项目时间轴</x:v>
      </x:c>
      <x:c r="D15" s="14" t="str">
        <x:v>【YYQ个人网站】-项目进度测试案例集</x:v>
      </x:c>
      <x:c r="E15" s="15" t="str">
        <x:v>YYQ20260720003</x:v>
      </x:c>
      <x:c r="F15" s="15" t="str">
        <x:v>PRJ-002</x:v>
      </x:c>
      <x:c r="G15" s="13" t="str">
        <x:v>项目板内容完整</x:v>
      </x:c>
      <x:c r="H15" s="16" t="str">
        <x:v>项目时间轴-项目板内容完整</x:v>
      </x:c>
      <x:c r="I15" s="14" t="str">
        <x:v>正常案例</x:v>
      </x:c>
      <x:c r="J15" s="14" t="str">
        <x:v>执行测试</x:v>
      </x:c>
      <x:c r="K15" s="13" t="str">
        <x:v>1. 准备：已定位 #codex
2. 逐项检查项目卡片</x:v>
      </x:c>
      <x:c r="L15" s="13" t="str">
        <x:v>每个项目显示当前阶段、更新时间、摘要、已完成里程碑、下一步及公开状态/链接</x:v>
      </x:c>
      <x:c r="M15" s="14" t="str">
        <x:v>杨烨齐</x:v>
      </x:c>
      <x:c r="N15" s="15" t="str">
        <x:v>YYQ-WEB
v0.1.22</x:v>
      </x:c>
      <x:c r="O15" s="15" t="str">
        <x:v>R-P1</x:v>
      </x:c>
    </x:row>
    <x:row r="16" ht="68" customHeight="1">
      <x:c r="A16" s="14" t="str">
        <x:v>YYQ个人网站</x:v>
      </x:c>
      <x:c r="B16" s="14" t="str">
        <x:v>项目进度</x:v>
      </x:c>
      <x:c r="C16" s="14" t="str">
        <x:v>项目时间轴</x:v>
      </x:c>
      <x:c r="D16" s="14" t="str">
        <x:v>【YYQ个人网站】-项目进度测试案例集</x:v>
      </x:c>
      <x:c r="E16" s="15" t="str">
        <x:v>YYQ20260720003</x:v>
      </x:c>
      <x:c r="F16" s="15" t="str">
        <x:v>PRJ-003</x:v>
      </x:c>
      <x:c r="G16" s="13" t="str">
        <x:v>时间轴状态标签正确</x:v>
      </x:c>
      <x:c r="H16" s="16" t="str">
        <x:v>项目时间轴-时间轴状态标签正确</x:v>
      </x:c>
      <x:c r="I16" s="14" t="str">
        <x:v>正常案例</x:v>
      </x:c>
      <x:c r="J16" s="14" t="str">
        <x:v>执行测试</x:v>
      </x:c>
      <x:c r="K16" s="13" t="str">
        <x:v>1. 准备：已进入 #projects
2. 检查图例及每个时间轴节点
3. 测试数据：已完成/当前记录/待推进</x:v>
      </x:c>
      <x:c r="L16" s="13" t="str">
        <x:v>节点文案与颜色状态一致；每个项目均有时间轴；顺序符合页面数据</x:v>
      </x:c>
      <x:c r="M16" s="14" t="str">
        <x:v>杨烨齐</x:v>
      </x:c>
      <x:c r="N16" s="15" t="str">
        <x:v>YYQ-WEB
v0.1.22</x:v>
      </x:c>
      <x:c r="O16" s="15" t="str">
        <x:v>R-P1</x:v>
      </x:c>
    </x:row>
    <x:row r="17" ht="68" customHeight="1">
      <x:c r="A17" s="14" t="str">
        <x:v>YYQ个人网站</x:v>
      </x:c>
      <x:c r="B17" s="14" t="str">
        <x:v>项目进度</x:v>
      </x:c>
      <x:c r="C17" s="14" t="str">
        <x:v>项目时间轴</x:v>
      </x:c>
      <x:c r="D17" s="14" t="str">
        <x:v>【YYQ个人网站】-项目进度测试案例集</x:v>
      </x:c>
      <x:c r="E17" s="15" t="str">
        <x:v>YYQ20260720003</x:v>
      </x:c>
      <x:c r="F17" s="15" t="str">
        <x:v>PRJ-004</x:v>
      </x:c>
      <x:c r="G17" s="13" t="str">
        <x:v>从时间轴返回项目板</x:v>
      </x:c>
      <x:c r="H17" s="16" t="str">
        <x:v>项目时间轴-从时间轴返回项目板</x:v>
      </x:c>
      <x:c r="I17" s="14" t="str">
        <x:v>正常案例</x:v>
      </x:c>
      <x:c r="J17" s="14" t="str">
        <x:v>执行测试</x:v>
      </x:c>
      <x:c r="K17" s="13" t="str">
        <x:v>1. 准备：已进入 #projects
2. 点击“返回项目板”</x:v>
      </x:c>
      <x:c r="L17" s="13" t="str">
        <x:v>URL 变为 #codex，恢复网站主页视图并定位项目板</x:v>
      </x:c>
      <x:c r="M17" s="14" t="str">
        <x:v>杨烨齐</x:v>
      </x:c>
      <x:c r="N17" s="15" t="str">
        <x:v>YYQ-WEB
v0.1.22</x:v>
      </x:c>
      <x:c r="O17" s="15" t="str">
        <x:v>R-P1</x:v>
      </x:c>
    </x:row>
    <x:row r="18" ht="68" customHeight="1">
      <x:c r="A18" s="14" t="str">
        <x:v>YYQ个人网站</x:v>
      </x:c>
      <x:c r="B18" s="14" t="str">
        <x:v>项目进度</x:v>
      </x:c>
      <x:c r="C18" s="14" t="str">
        <x:v>项目时间轴</x:v>
      </x:c>
      <x:c r="D18" s="14" t="str">
        <x:v>【YYQ个人网站】-项目进度测试案例集</x:v>
      </x:c>
      <x:c r="E18" s="15" t="str">
        <x:v>YYQ20260720003</x:v>
      </x:c>
      <x:c r="F18" s="15" t="str">
        <x:v>PRJ-005</x:v>
      </x:c>
      <x:c r="G18" s="13" t="str">
        <x:v>GitHub 项目链接安全打开</x:v>
      </x:c>
      <x:c r="H18" s="16" t="str">
        <x:v>项目时间轴-GitHub 项目链接安全打开</x:v>
      </x:c>
      <x:c r="I18" s="14" t="str">
        <x:v>异常案例</x:v>
      </x:c>
      <x:c r="J18" s="14" t="str">
        <x:v>执行测试</x:v>
      </x:c>
      <x:c r="K18" s="13" t="str">
        <x:v>1. 准备：项目卡片存在公开链接
2. 点击 GitHub 仓库链接</x:v>
      </x:c>
      <x:c r="L18" s="13" t="str">
        <x:v>在新标签页打开正确仓库；原页面保留；链接包含 rel=noreferrer</x:v>
      </x:c>
      <x:c r="M18" s="14" t="str">
        <x:v>杨烨齐</x:v>
      </x:c>
      <x:c r="N18" s="15" t="str">
        <x:v>YYQ-WEB
v0.1.22</x:v>
      </x:c>
      <x:c r="O18" s="15" t="str">
        <x:v>R-P1</x:v>
      </x:c>
    </x:row>
    <x:row r="19" ht="68" customHeight="1">
      <x:c r="A19" s="14" t="str">
        <x:v>YYQ个人网站</x:v>
      </x:c>
      <x:c r="B19" s="14" t="str">
        <x:v>工作履历</x:v>
      </x:c>
      <x:c r="C19" s="14" t="str">
        <x:v>履历折叠</x:v>
      </x:c>
      <x:c r="D19" s="14" t="str">
        <x:v>【YYQ个人网站】-工作履历测试案例集</x:v>
      </x:c>
      <x:c r="E19" s="15" t="str">
        <x:v>YYQ20260720004</x:v>
      </x:c>
      <x:c r="F19" s="15" t="str">
        <x:v>RES-001</x:v>
      </x:c>
      <x:c r="G19" s="13" t="str">
        <x:v>默认展开第一家公司</x:v>
      </x:c>
      <x:c r="H19" s="16" t="str">
        <x:v>履历折叠-默认展开第一家公司</x:v>
      </x:c>
      <x:c r="I19" s="14" t="str">
        <x:v>正常案例</x:v>
      </x:c>
      <x:c r="J19" s="14" t="str">
        <x:v>执行测试</x:v>
      </x:c>
      <x:c r="K19" s="13" t="str">
        <x:v>1. 准备：首次打开首页
2. 滚动到 Resume 区块</x:v>
      </x:c>
      <x:c r="L19" s="13" t="str">
        <x:v>第一家公司 aria-expanded=true 且项目详情可见；其余公司默认收起</x:v>
      </x:c>
      <x:c r="M19" s="14" t="str">
        <x:v>杨烨齐</x:v>
      </x:c>
      <x:c r="N19" s="15" t="str">
        <x:v>YYQ-WEB
v0.1.22</x:v>
      </x:c>
      <x:c r="O19" s="15" t="str">
        <x:v>R-P1</x:v>
      </x:c>
    </x:row>
    <x:row r="20" ht="68" customHeight="1">
      <x:c r="A20" s="14" t="str">
        <x:v>YYQ个人网站</x:v>
      </x:c>
      <x:c r="B20" s="14" t="str">
        <x:v>工作履历</x:v>
      </x:c>
      <x:c r="C20" s="14" t="str">
        <x:v>履历折叠</x:v>
      </x:c>
      <x:c r="D20" s="14" t="str">
        <x:v>【YYQ个人网站】-工作履历测试案例集</x:v>
      </x:c>
      <x:c r="E20" s="15" t="str">
        <x:v>YYQ20260720004</x:v>
      </x:c>
      <x:c r="F20" s="15" t="str">
        <x:v>RES-002</x:v>
      </x:c>
      <x:c r="G20" s="13" t="str">
        <x:v>点击公司展开详情</x:v>
      </x:c>
      <x:c r="H20" s="16" t="str">
        <x:v>履历折叠-点击公司展开详情</x:v>
      </x:c>
      <x:c r="I20" s="14" t="str">
        <x:v>正常案例</x:v>
      </x:c>
      <x:c r="J20" s="14" t="str">
        <x:v>执行测试</x:v>
      </x:c>
      <x:c r="K20" s="13" t="str">
        <x:v>1. 准备：目标公司处于收起状态
2. 点击该公司标题区域
3. 测试数据：任一非首家公司</x:v>
      </x:c>
      <x:c r="L20" s="13" t="str">
        <x:v>该公司变为展开；项目标题、时间、简介和职责点完整显示</x:v>
      </x:c>
      <x:c r="M20" s="14" t="str">
        <x:v>杨烨齐</x:v>
      </x:c>
      <x:c r="N20" s="15" t="str">
        <x:v>YYQ-WEB
v0.1.22</x:v>
      </x:c>
      <x:c r="O20" s="15" t="str">
        <x:v>R-P0</x:v>
      </x:c>
    </x:row>
    <x:row r="21" ht="68" customHeight="1">
      <x:c r="A21" s="14" t="str">
        <x:v>YYQ个人网站</x:v>
      </x:c>
      <x:c r="B21" s="14" t="str">
        <x:v>工作履历</x:v>
      </x:c>
      <x:c r="C21" s="14" t="str">
        <x:v>履历折叠</x:v>
      </x:c>
      <x:c r="D21" s="14" t="str">
        <x:v>【YYQ个人网站】-工作履历测试案例集</x:v>
      </x:c>
      <x:c r="E21" s="15" t="str">
        <x:v>YYQ20260720004</x:v>
      </x:c>
      <x:c r="F21" s="15" t="str">
        <x:v>RES-003</x:v>
      </x:c>
      <x:c r="G21" s="13" t="str">
        <x:v>点击已展开公司收起详情</x:v>
      </x:c>
      <x:c r="H21" s="16" t="str">
        <x:v>履历折叠-点击已展开公司收起详情</x:v>
      </x:c>
      <x:c r="I21" s="14" t="str">
        <x:v>正常案例</x:v>
      </x:c>
      <x:c r="J21" s="14" t="str">
        <x:v>执行测试</x:v>
      </x:c>
      <x:c r="K21" s="13" t="str">
        <x:v>1. 准备：目标公司处于展开状态
2. 再次点击该公司标题区域</x:v>
      </x:c>
      <x:c r="L21" s="13" t="str">
        <x:v>该公司变为收起；aria-expanded=false；详情内容不占用可见高度</x:v>
      </x:c>
      <x:c r="M21" s="14" t="str">
        <x:v>杨烨齐</x:v>
      </x:c>
      <x:c r="N21" s="15" t="str">
        <x:v>YYQ-WEB
v0.1.22</x:v>
      </x:c>
      <x:c r="O21" s="15" t="str">
        <x:v>R-P1</x:v>
      </x:c>
    </x:row>
    <x:row r="22" ht="68" customHeight="1">
      <x:c r="A22" s="14" t="str">
        <x:v>YYQ个人网站</x:v>
      </x:c>
      <x:c r="B22" s="14" t="str">
        <x:v>工作履历</x:v>
      </x:c>
      <x:c r="C22" s="14" t="str">
        <x:v>履历折叠</x:v>
      </x:c>
      <x:c r="D22" s="14" t="str">
        <x:v>【YYQ个人网站】-工作履历测试案例集</x:v>
      </x:c>
      <x:c r="E22" s="15" t="str">
        <x:v>YYQ20260720004</x:v>
      </x:c>
      <x:c r="F22" s="15" t="str">
        <x:v>RES-004</x:v>
      </x:c>
      <x:c r="G22" s="13" t="str">
        <x:v>连续切换不同公司</x:v>
      </x:c>
      <x:c r="H22" s="16" t="str">
        <x:v>履历折叠-连续切换不同公司</x:v>
      </x:c>
      <x:c r="I22" s="14" t="str">
        <x:v>正常案例</x:v>
      </x:c>
      <x:c r="J22" s="14" t="str">
        <x:v>执行测试</x:v>
      </x:c>
      <x:c r="K22" s="13" t="str">
        <x:v>1. 准备：已定位 Resume 区块
2. 依次展开、收起多家公司
3. 测试数据：至少 3 家公司</x:v>
      </x:c>
      <x:c r="L22" s="13" t="str">
        <x:v>每次操作响应正确，无卡死、跳动或内容串位；按钮 +/− 状态与展开状态一致</x:v>
      </x:c>
      <x:c r="M22" s="14" t="str">
        <x:v>杨烨齐</x:v>
      </x:c>
      <x:c r="N22" s="15" t="str">
        <x:v>YYQ-WEB
v0.1.22</x:v>
      </x:c>
      <x:c r="O22" s="15" t="str">
        <x:v>R-P2</x:v>
      </x:c>
    </x:row>
    <x:row r="23" ht="68" customHeight="1">
      <x:c r="A23" s="14" t="str">
        <x:v>YYQ个人网站</x:v>
      </x:c>
      <x:c r="B23" s="14" t="str">
        <x:v>联系弹窗</x:v>
      </x:c>
      <x:c r="C23" s="14" t="str">
        <x:v>弹窗交互</x:v>
      </x:c>
      <x:c r="D23" s="14" t="str">
        <x:v>【YYQ个人网站】-联系弹窗测试案例集</x:v>
      </x:c>
      <x:c r="E23" s="15" t="str">
        <x:v>YYQ20260720005</x:v>
      </x:c>
      <x:c r="F23" s="15" t="str">
        <x:v>CON-001</x:v>
      </x:c>
      <x:c r="G23" s="13" t="str">
        <x:v>点击联系我打开弹窗</x:v>
      </x:c>
      <x:c r="H23" s="16" t="str">
        <x:v>弹窗交互-点击联系我打开弹窗</x:v>
      </x:c>
      <x:c r="I23" s="14" t="str">
        <x:v>正常案例</x:v>
      </x:c>
      <x:c r="J23" s="14" t="str">
        <x:v>执行测试</x:v>
      </x:c>
      <x:c r="K23" s="13" t="str">
        <x:v>1. 准备：已打开任意网站视图
2. 点击顶部“联系我”</x:v>
      </x:c>
      <x:c r="L23" s="13" t="str">
        <x:v>显示 role=dialog 的联系弹窗；标题、微信二维码、电话与邮箱内容可见</x:v>
      </x:c>
      <x:c r="M23" s="14" t="str">
        <x:v>杨烨齐</x:v>
      </x:c>
      <x:c r="N23" s="15" t="str">
        <x:v>YYQ-WEB
v0.1.22</x:v>
      </x:c>
      <x:c r="O23" s="15" t="str">
        <x:v>R-P0</x:v>
      </x:c>
    </x:row>
    <x:row r="24" ht="68" customHeight="1">
      <x:c r="A24" s="14" t="str">
        <x:v>YYQ个人网站</x:v>
      </x:c>
      <x:c r="B24" s="14" t="str">
        <x:v>联系弹窗</x:v>
      </x:c>
      <x:c r="C24" s="14" t="str">
        <x:v>弹窗交互</x:v>
      </x:c>
      <x:c r="D24" s="14" t="str">
        <x:v>【YYQ个人网站】-联系弹窗测试案例集</x:v>
      </x:c>
      <x:c r="E24" s="15" t="str">
        <x:v>YYQ20260720005</x:v>
      </x:c>
      <x:c r="F24" s="15" t="str">
        <x:v>CON-002</x:v>
      </x:c>
      <x:c r="G24" s="13" t="str">
        <x:v>点击关闭按钮关闭弹窗</x:v>
      </x:c>
      <x:c r="H24" s="16" t="str">
        <x:v>弹窗交互-点击关闭按钮关闭弹窗</x:v>
      </x:c>
      <x:c r="I24" s="14" t="str">
        <x:v>正常案例</x:v>
      </x:c>
      <x:c r="J24" s="14" t="str">
        <x:v>执行测试</x:v>
      </x:c>
      <x:c r="K24" s="13" t="str">
        <x:v>1. 准备：联系弹窗已打开
2. 点击右上角 ×</x:v>
      </x:c>
      <x:c r="L24" s="13" t="str">
        <x:v>弹窗播放关闭过渡后消失，主页面恢复可操作</x:v>
      </x:c>
      <x:c r="M24" s="14" t="str">
        <x:v>杨烨齐</x:v>
      </x:c>
      <x:c r="N24" s="15" t="str">
        <x:v>YYQ-WEB
v0.1.22</x:v>
      </x:c>
      <x:c r="O24" s="15" t="str">
        <x:v>R-P0</x:v>
      </x:c>
    </x:row>
    <x:row r="25" ht="68" customHeight="1">
      <x:c r="A25" s="14" t="str">
        <x:v>YYQ个人网站</x:v>
      </x:c>
      <x:c r="B25" s="14" t="str">
        <x:v>联系弹窗</x:v>
      </x:c>
      <x:c r="C25" s="14" t="str">
        <x:v>弹窗交互</x:v>
      </x:c>
      <x:c r="D25" s="14" t="str">
        <x:v>【YYQ个人网站】-联系弹窗测试案例集</x:v>
      </x:c>
      <x:c r="E25" s="15" t="str">
        <x:v>YYQ20260720005</x:v>
      </x:c>
      <x:c r="F25" s="15" t="str">
        <x:v>CON-003</x:v>
      </x:c>
      <x:c r="G25" s="13" t="str">
        <x:v>点击遮罩关闭弹窗</x:v>
      </x:c>
      <x:c r="H25" s="16" t="str">
        <x:v>弹窗交互-点击遮罩关闭弹窗</x:v>
      </x:c>
      <x:c r="I25" s="14" t="str">
        <x:v>正常案例</x:v>
      </x:c>
      <x:c r="J25" s="14" t="str">
        <x:v>执行测试</x:v>
      </x:c>
      <x:c r="K25" s="13" t="str">
        <x:v>1. 准备：联系弹窗已打开
2. 点击弹窗外的背景遮罩</x:v>
      </x:c>
      <x:c r="L25" s="13" t="str">
        <x:v>弹窗关闭；页面未发生意外跳转</x:v>
      </x:c>
      <x:c r="M25" s="14" t="str">
        <x:v>杨烨齐</x:v>
      </x:c>
      <x:c r="N25" s="15" t="str">
        <x:v>YYQ-WEB
v0.1.22</x:v>
      </x:c>
      <x:c r="O25" s="15" t="str">
        <x:v>R-P1</x:v>
      </x:c>
    </x:row>
    <x:row r="26" ht="68" customHeight="1">
      <x:c r="A26" s="14" t="str">
        <x:v>YYQ个人网站</x:v>
      </x:c>
      <x:c r="B26" s="14" t="str">
        <x:v>联系弹窗</x:v>
      </x:c>
      <x:c r="C26" s="14" t="str">
        <x:v>弹窗交互</x:v>
      </x:c>
      <x:c r="D26" s="14" t="str">
        <x:v>【YYQ个人网站】-联系弹窗测试案例集</x:v>
      </x:c>
      <x:c r="E26" s="15" t="str">
        <x:v>YYQ20260720005</x:v>
      </x:c>
      <x:c r="F26" s="15" t="str">
        <x:v>CON-004</x:v>
      </x:c>
      <x:c r="G26" s="13" t="str">
        <x:v>Esc 键关闭弹窗</x:v>
      </x:c>
      <x:c r="H26" s="16" t="str">
        <x:v>弹窗交互-Esc 键关闭弹窗</x:v>
      </x:c>
      <x:c r="I26" s="14" t="str">
        <x:v>正常案例</x:v>
      </x:c>
      <x:c r="J26" s="14" t="str">
        <x:v>执行测试</x:v>
      </x:c>
      <x:c r="K26" s="13" t="str">
        <x:v>1. 准备：联系弹窗已打开
2. 按 Escape 键
3. 测试数据：Escape</x:v>
      </x:c>
      <x:c r="L26" s="13" t="str">
        <x:v>弹窗关闭；无控制台异常</x:v>
      </x:c>
      <x:c r="M26" s="14" t="str">
        <x:v>杨烨齐</x:v>
      </x:c>
      <x:c r="N26" s="15" t="str">
        <x:v>YYQ-WEB
v0.1.22</x:v>
      </x:c>
      <x:c r="O26" s="15" t="str">
        <x:v>R-P1</x:v>
      </x:c>
    </x:row>
    <x:row r="27" ht="68" customHeight="1">
      <x:c r="A27" s="14" t="str">
        <x:v>YYQ个人网站</x:v>
      </x:c>
      <x:c r="B27" s="14" t="str">
        <x:v>联系弹窗</x:v>
      </x:c>
      <x:c r="C27" s="14" t="str">
        <x:v>弹窗交互</x:v>
      </x:c>
      <x:c r="D27" s="14" t="str">
        <x:v>【YYQ个人网站】-联系弹窗测试案例集</x:v>
      </x:c>
      <x:c r="E27" s="15" t="str">
        <x:v>YYQ20260720005</x:v>
      </x:c>
      <x:c r="F27" s="15" t="str">
        <x:v>CON-005</x:v>
      </x:c>
      <x:c r="G27" s="13" t="str">
        <x:v>二维码资源正常显示</x:v>
      </x:c>
      <x:c r="H27" s="16" t="str">
        <x:v>弹窗交互-二维码资源正常显示</x:v>
      </x:c>
      <x:c r="I27" s="14" t="str">
        <x:v>正常案例</x:v>
      </x:c>
      <x:c r="J27" s="14" t="str">
        <x:v>执行测试</x:v>
      </x:c>
      <x:c r="K27" s="13" t="str">
        <x:v>1. 准备：联系弹窗已打开且图片可访问
2. 检查二维码图片并尝试微信扫码
3. 测试数据：public/images/wechat-contact.png</x:v>
      </x:c>
      <x:c r="L27" s="13" t="str">
        <x:v>图片清晰完整，无拉伸；扫码能识别预期微信联系人</x:v>
      </x:c>
      <x:c r="M27" s="14" t="str">
        <x:v>杨烨齐</x:v>
      </x:c>
      <x:c r="N27" s="15" t="str">
        <x:v>YYQ-WEB
v0.1.22</x:v>
      </x:c>
      <x:c r="O27" s="15" t="str">
        <x:v>R-P0</x:v>
      </x:c>
    </x:row>
    <x:row r="28" ht="68" customHeight="1">
      <x:c r="A28" s="14" t="str">
        <x:v>YYQ个人网站</x:v>
      </x:c>
      <x:c r="B28" s="14" t="str">
        <x:v>联系弹窗</x:v>
      </x:c>
      <x:c r="C28" s="14" t="str">
        <x:v>弹窗交互</x:v>
      </x:c>
      <x:c r="D28" s="14" t="str">
        <x:v>【YYQ个人网站】-联系弹窗测试案例集</x:v>
      </x:c>
      <x:c r="E28" s="15" t="str">
        <x:v>YYQ20260720005</x:v>
      </x:c>
      <x:c r="F28" s="15" t="str">
        <x:v>CON-006</x:v>
      </x:c>
      <x:c r="G28" s="13" t="str">
        <x:v>二维码加载失败时显示占位图</x:v>
      </x:c>
      <x:c r="H28" s="16" t="str">
        <x:v>弹窗交互-二维码加载失败时显示占位图</x:v>
      </x:c>
      <x:c r="I28" s="14" t="str">
        <x:v>异常案例</x:v>
      </x:c>
      <x:c r="J28" s="14" t="str">
        <x:v>执行测试</x:v>
      </x:c>
      <x:c r="K28" s="13" t="str">
        <x:v>1. 准备：使用开发者工具阻止二维码请求
2. 打开联系弹窗
3. 测试数据：阻止 wechat-contact.png</x:v>
      </x:c>
      <x:c r="L28" s="13" t="str">
        <x:v>不显示破图图标；显示带可访问名称的二维码占位图，弹窗其余内容正常</x:v>
      </x:c>
      <x:c r="M28" s="14" t="str">
        <x:v>杨烨齐</x:v>
      </x:c>
      <x:c r="N28" s="15" t="str">
        <x:v>YYQ-WEB
v0.1.22</x:v>
      </x:c>
      <x:c r="O28" s="15" t="str">
        <x:v>R-P1</x:v>
      </x:c>
    </x:row>
    <x:row r="29" ht="68" customHeight="1">
      <x:c r="A29" s="14" t="str">
        <x:v>YYQ个人网站</x:v>
      </x:c>
      <x:c r="B29" s="14" t="str">
        <x:v>文件与链接</x:v>
      </x:c>
      <x:c r="C29" s="14" t="str">
        <x:v>文件访问</x:v>
      </x:c>
      <x:c r="D29" s="14" t="str">
        <x:v>【YYQ个人网站】-文件与链接测试案例集</x:v>
      </x:c>
      <x:c r="E29" s="15" t="str">
        <x:v>YYQ20260720006</x:v>
      </x:c>
      <x:c r="F29" s="15" t="str">
        <x:v>FILE-001</x:v>
      </x:c>
      <x:c r="G29" s="13" t="str">
        <x:v>下载 DOCX 简历</x:v>
      </x:c>
      <x:c r="H29" s="16" t="str">
        <x:v>文件访问-下载 DOCX 简历</x:v>
      </x:c>
      <x:c r="I29" s="14" t="str">
        <x:v>正常案例</x:v>
      </x:c>
      <x:c r="J29" s="14" t="str">
        <x:v>执行测试</x:v>
      </x:c>
      <x:c r="K29" s="13" t="str">
        <x:v>1. 准备：浏览器允许下载
2. 点击“下载简历信息”
3. 测试数据：yang-yeqi-resume.docx</x:v>
      </x:c>
      <x:c r="L29" s="13" t="str">
        <x:v>返回 200 并开始下载；文件名为“杨烨齐简历.docx”；文件可由 Word/WPS 正常打开</x:v>
      </x:c>
      <x:c r="M29" s="14" t="str">
        <x:v>杨烨齐</x:v>
      </x:c>
      <x:c r="N29" s="15" t="str">
        <x:v>YYQ-WEB
v0.1.22</x:v>
      </x:c>
      <x:c r="O29" s="15" t="str">
        <x:v>R-P0</x:v>
      </x:c>
    </x:row>
    <x:row r="30" ht="68" customHeight="1">
      <x:c r="A30" s="14" t="str">
        <x:v>YYQ个人网站</x:v>
      </x:c>
      <x:c r="B30" s="14" t="str">
        <x:v>文件与链接</x:v>
      </x:c>
      <x:c r="C30" s="14" t="str">
        <x:v>文件访问</x:v>
      </x:c>
      <x:c r="D30" s="14" t="str">
        <x:v>【YYQ个人网站】-文件与链接测试案例集</x:v>
      </x:c>
      <x:c r="E30" s="15" t="str">
        <x:v>YYQ20260720006</x:v>
      </x:c>
      <x:c r="F30" s="15" t="str">
        <x:v>FILE-002</x:v>
      </x:c>
      <x:c r="G30" s="13" t="str">
        <x:v>PDF 简历静态资源可访问</x:v>
      </x:c>
      <x:c r="H30" s="16" t="str">
        <x:v>文件访问-PDF 简历静态资源可访问</x:v>
      </x:c>
      <x:c r="I30" s="14" t="str">
        <x:v>正常案例</x:v>
      </x:c>
      <x:c r="J30" s="14" t="str">
        <x:v>执行测试</x:v>
      </x:c>
      <x:c r="K30" s="13" t="str">
        <x:v>1. 准备：站点已部署
2. 直接访问 /files/yang-yeqi-resume.pdf
3. 测试数据：GitHub Pages 基础路径下的 PDF URL</x:v>
      </x:c>
      <x:c r="L30" s="13" t="str">
        <x:v>返回 200；浏览器可预览或下载；PDF 页面完整无损坏</x:v>
      </x:c>
      <x:c r="M30" s="14" t="str">
        <x:v>杨烨齐</x:v>
      </x:c>
      <x:c r="N30" s="15" t="str">
        <x:v>YYQ-WEB
v0.1.22</x:v>
      </x:c>
      <x:c r="O30" s="15" t="str">
        <x:v>R-P1</x:v>
      </x:c>
    </x:row>
    <x:row r="31" ht="68" customHeight="1">
      <x:c r="A31" s="14" t="str">
        <x:v>YYQ个人网站</x:v>
      </x:c>
      <x:c r="B31" s="14" t="str">
        <x:v>文件与链接</x:v>
      </x:c>
      <x:c r="C31" s="14" t="str">
        <x:v>文件访问</x:v>
      </x:c>
      <x:c r="D31" s="14" t="str">
        <x:v>【YYQ个人网站】-文件与链接测试案例集</x:v>
      </x:c>
      <x:c r="E31" s="15" t="str">
        <x:v>YYQ20260720006</x:v>
      </x:c>
      <x:c r="F31" s="15" t="str">
        <x:v>FILE-003</x:v>
      </x:c>
      <x:c r="G31" s="13" t="str">
        <x:v>GitHub Pages 基础路径下资源正确</x:v>
      </x:c>
      <x:c r="H31" s="16" t="str">
        <x:v>文件访问-GitHub Pages 基础路径下资源正确</x:v>
      </x:c>
      <x:c r="I31" s="14" t="str">
        <x:v>正常案例</x:v>
      </x:c>
      <x:c r="J31" s="14" t="str">
        <x:v>执行测试</x:v>
      </x:c>
      <x:c r="K31" s="13" t="str">
        <x:v>1. 准备：部署于 /YYQ-Personal-web/ 子路径
2. 检查背景、落叶、二维码、字体与简历请求
3. 测试数据：生产站点 Network 面板</x:v>
      </x:c>
      <x:c r="L31" s="13" t="str">
        <x:v>所有站内资源均带正确基础路径并返回 200，无根路径导致的 404</x:v>
      </x:c>
      <x:c r="M31" s="14" t="str">
        <x:v>杨烨齐</x:v>
      </x:c>
      <x:c r="N31" s="15" t="str">
        <x:v>YYQ-WEB
v0.1.22</x:v>
      </x:c>
      <x:c r="O31" s="15" t="str">
        <x:v>R-P0</x:v>
      </x:c>
    </x:row>
    <x:row r="32" ht="68" customHeight="1">
      <x:c r="A32" s="14" t="str">
        <x:v>YYQ个人网站</x:v>
      </x:c>
      <x:c r="B32" s="14" t="str">
        <x:v>四季动效</x:v>
      </x:c>
      <x:c r="C32" s="14" t="str">
        <x:v>季节动效</x:v>
      </x:c>
      <x:c r="D32" s="14" t="str">
        <x:v>【YYQ个人网站】-四季动效测试案例集</x:v>
      </x:c>
      <x:c r="E32" s="15" t="str">
        <x:v>YYQ20260720007</x:v>
      </x:c>
      <x:c r="F32" s="15" t="str">
        <x:v>SEA-001</x:v>
      </x:c>
      <x:c r="G32" s="13" t="str">
        <x:v>页面顶部显示春季</x:v>
      </x:c>
      <x:c r="H32" s="16" t="str">
        <x:v>季节动效-页面顶部显示春季</x:v>
      </x:c>
      <x:c r="I32" s="14" t="str">
        <x:v>正常案例</x:v>
      </x:c>
      <x:c r="J32" s="14" t="str">
        <x:v>执行测试</x:v>
      </x:c>
      <x:c r="K32" s="13" t="str">
        <x:v>1. 准备：进入首页且滚动条在顶部
2. 观察背景与掉落物</x:v>
      </x:c>
      <x:c r="L32" s="13" t="str">
        <x:v>显示春季背景及花瓣掉落物；不显示夏季萤火虫或冬季雪花</x:v>
      </x:c>
      <x:c r="M32" s="14" t="str">
        <x:v>杨烨齐</x:v>
      </x:c>
      <x:c r="N32" s="15" t="str">
        <x:v>YYQ-WEB
v0.1.22</x:v>
      </x:c>
      <x:c r="O32" s="15" t="str">
        <x:v>R-P1</x:v>
      </x:c>
    </x:row>
    <x:row r="33" ht="68" customHeight="1">
      <x:c r="A33" s="14" t="str">
        <x:v>YYQ个人网站</x:v>
      </x:c>
      <x:c r="B33" s="14" t="str">
        <x:v>四季动效</x:v>
      </x:c>
      <x:c r="C33" s="14" t="str">
        <x:v>季节动效</x:v>
      </x:c>
      <x:c r="D33" s="14" t="str">
        <x:v>【YYQ个人网站】-四季动效测试案例集</x:v>
      </x:c>
      <x:c r="E33" s="15" t="str">
        <x:v>YYQ20260720007</x:v>
      </x:c>
      <x:c r="F33" s="15" t="str">
        <x:v>SEA-002</x:v>
      </x:c>
      <x:c r="G33" s="13" t="str">
        <x:v>滚动切换四季背景</x:v>
      </x:c>
      <x:c r="H33" s="16" t="str">
        <x:v>季节动效-滚动切换四季背景</x:v>
      </x:c>
      <x:c r="I33" s="14" t="str">
        <x:v>正常案例</x:v>
      </x:c>
      <x:c r="J33" s="14" t="str">
        <x:v>执行测试</x:v>
      </x:c>
      <x:c r="K33" s="13" t="str">
        <x:v>1. 准备：首页可完整滚动
2. 从顶部缓慢滚动到底部
3. 测试数据：25%/50%/75%/100% 页面进度</x:v>
      </x:c>
      <x:c r="L33" s="13" t="str">
        <x:v>背景按春→夏→秋→冬平滑过渡，无闪白、断层或旧背景残留</x:v>
      </x:c>
      <x:c r="M33" s="14" t="str">
        <x:v>杨烨齐</x:v>
      </x:c>
      <x:c r="N33" s="15" t="str">
        <x:v>YYQ-WEB
v0.1.22</x:v>
      </x:c>
      <x:c r="O33" s="15" t="str">
        <x:v>R-P0</x:v>
      </x:c>
    </x:row>
    <x:row r="34" ht="68" customHeight="1">
      <x:c r="A34" s="14" t="str">
        <x:v>YYQ个人网站</x:v>
      </x:c>
      <x:c r="B34" s="14" t="str">
        <x:v>四季动效</x:v>
      </x:c>
      <x:c r="C34" s="14" t="str">
        <x:v>季节动效</x:v>
      </x:c>
      <x:c r="D34" s="14" t="str">
        <x:v>【YYQ个人网站】-四季动效测试案例集</x:v>
      </x:c>
      <x:c r="E34" s="15" t="str">
        <x:v>YYQ20260720007</x:v>
      </x:c>
      <x:c r="F34" s="15" t="str">
        <x:v>SEA-003</x:v>
      </x:c>
      <x:c r="G34" s="13" t="str">
        <x:v>掉落物随季节变化</x:v>
      </x:c>
      <x:c r="H34" s="16" t="str">
        <x:v>季节动效-掉落物随季节变化</x:v>
      </x:c>
      <x:c r="I34" s="14" t="str">
        <x:v>正常案例</x:v>
      </x:c>
      <x:c r="J34" s="14" t="str">
        <x:v>执行测试</x:v>
      </x:c>
      <x:c r="K34" s="13" t="str">
        <x:v>1. 准备：首页可完整滚动
2. 分别停留在春、夏、秋、冬区域
3. 测试数据：花瓣/绿叶/秋叶/雪花</x:v>
      </x:c>
      <x:c r="L34" s="13" t="str">
        <x:v>每个季节显示对应素材；切换后旧季节素材逐步退出，不出现混乱堆积</x:v>
      </x:c>
      <x:c r="M34" s="14" t="str">
        <x:v>杨烨齐</x:v>
      </x:c>
      <x:c r="N34" s="15" t="str">
        <x:v>YYQ-WEB
v0.1.22</x:v>
      </x:c>
      <x:c r="O34" s="15" t="str">
        <x:v>R-P1</x:v>
      </x:c>
    </x:row>
    <x:row r="35" ht="68" customHeight="1">
      <x:c r="A35" s="14" t="str">
        <x:v>YYQ个人网站</x:v>
      </x:c>
      <x:c r="B35" s="14" t="str">
        <x:v>四季动效</x:v>
      </x:c>
      <x:c r="C35" s="14" t="str">
        <x:v>季节动效</x:v>
      </x:c>
      <x:c r="D35" s="14" t="str">
        <x:v>【YYQ个人网站】-四季动效测试案例集</x:v>
      </x:c>
      <x:c r="E35" s="15" t="str">
        <x:v>YYQ20260720007</x:v>
      </x:c>
      <x:c r="F35" s="15" t="str">
        <x:v>SEA-004</x:v>
      </x:c>
      <x:c r="G35" s="13" t="str">
        <x:v>夏季萤火虫仅在夏季出现</x:v>
      </x:c>
      <x:c r="H35" s="16" t="str">
        <x:v>季节动效-夏季萤火虫仅在夏季出现</x:v>
      </x:c>
      <x:c r="I35" s="14" t="str">
        <x:v>正常案例</x:v>
      </x:c>
      <x:c r="J35" s="14" t="str">
        <x:v>执行测试</x:v>
      </x:c>
      <x:c r="K35" s="13" t="str">
        <x:v>1. 准备：首页可完整滚动
2. 滚动进入夏季，再离开夏季</x:v>
      </x:c>
      <x:c r="L35" s="13" t="str">
        <x:v>夏季萤火虫轨迹出现；进入秋季或回到春季后隐藏</x:v>
      </x:c>
      <x:c r="M35" s="14" t="str">
        <x:v>杨烨齐</x:v>
      </x:c>
      <x:c r="N35" s="15" t="str">
        <x:v>YYQ-WEB
v0.1.22</x:v>
      </x:c>
      <x:c r="O35" s="15" t="str">
        <x:v>R-P1</x:v>
      </x:c>
    </x:row>
    <x:row r="36" ht="68" customHeight="1">
      <x:c r="A36" s="14" t="str">
        <x:v>YYQ个人网站</x:v>
      </x:c>
      <x:c r="B36" s="14" t="str">
        <x:v>四季动效</x:v>
      </x:c>
      <x:c r="C36" s="14" t="str">
        <x:v>季节动效</x:v>
      </x:c>
      <x:c r="D36" s="14" t="str">
        <x:v>【YYQ个人网站】-四季动效测试案例集</x:v>
      </x:c>
      <x:c r="E36" s="15" t="str">
        <x:v>YYQ20260720007</x:v>
      </x:c>
      <x:c r="F36" s="15" t="str">
        <x:v>SEA-005</x:v>
      </x:c>
      <x:c r="G36" s="13" t="str">
        <x:v>移动端使用移动背景图</x:v>
      </x:c>
      <x:c r="H36" s="16" t="str">
        <x:v>季节动效-移动端使用移动背景图</x:v>
      </x:c>
      <x:c r="I36" s="14" t="str">
        <x:v>正常案例</x:v>
      </x:c>
      <x:c r="J36" s="14" t="str">
        <x:v>执行测试</x:v>
      </x:c>
      <x:c r="K36" s="13" t="str">
        <x:v>1. 准备：视口宽度 &lt;768px
2. 打开 Network，刷新并滚动四季
3. 测试数据：390×844</x:v>
      </x:c>
      <x:c r="L36" s="13" t="str">
        <x:v>请求 images/seasons/mobile/ 下的季节图；背景主体构图适合窄屏，不明显裁掉核心视觉</x:v>
      </x:c>
      <x:c r="M36" s="14" t="str">
        <x:v>杨烨齐</x:v>
      </x:c>
      <x:c r="N36" s="15" t="str">
        <x:v>YYQ-WEB
v0.1.22</x:v>
      </x:c>
      <x:c r="O36" s="15" t="str">
        <x:v>R-P1</x:v>
      </x:c>
    </x:row>
    <x:row r="37" ht="68" customHeight="1">
      <x:c r="A37" s="14" t="str">
        <x:v>YYQ个人网站</x:v>
      </x:c>
      <x:c r="B37" s="14" t="str">
        <x:v>四季动效</x:v>
      </x:c>
      <x:c r="C37" s="14" t="str">
        <x:v>季节动效</x:v>
      </x:c>
      <x:c r="D37" s="14" t="str">
        <x:v>【YYQ个人网站】-四季动效测试案例集</x:v>
      </x:c>
      <x:c r="E37" s="15" t="str">
        <x:v>YYQ20260720007</x:v>
      </x:c>
      <x:c r="F37" s="15" t="str">
        <x:v>SEA-006</x:v>
      </x:c>
      <x:c r="G37" s="13" t="str">
        <x:v>快速滚动与回滚稳定</x:v>
      </x:c>
      <x:c r="H37" s="16" t="str">
        <x:v>季节动效-快速滚动与回滚稳定</x:v>
      </x:c>
      <x:c r="I37" s="14" t="str">
        <x:v>正常案例</x:v>
      </x:c>
      <x:c r="J37" s="14" t="str">
        <x:v>执行测试</x:v>
      </x:c>
      <x:c r="K37" s="13" t="str">
        <x:v>1. 准备：首页加载完成
2. 快速滚动到底部，再快速回到顶部，重复 3 次</x:v>
      </x:c>
      <x:c r="L37" s="13" t="str">
        <x:v>背景状态最终与滚动位置一致；无明显掉帧、图片闪烁、内存持续攀升或脚本报错</x:v>
      </x:c>
      <x:c r="M37" s="14" t="str">
        <x:v>杨烨齐</x:v>
      </x:c>
      <x:c r="N37" s="15" t="str">
        <x:v>YYQ-WEB
v0.1.22</x:v>
      </x:c>
      <x:c r="O37" s="15" t="str">
        <x:v>R-P2</x:v>
      </x:c>
    </x:row>
    <x:row r="38" ht="68" customHeight="1">
      <x:c r="A38" s="14" t="str">
        <x:v>YYQ个人网站</x:v>
      </x:c>
      <x:c r="B38" s="14" t="str">
        <x:v>响应式</x:v>
      </x:c>
      <x:c r="C38" s="14" t="str">
        <x:v>多端适配</x:v>
      </x:c>
      <x:c r="D38" s="14" t="str">
        <x:v>【YYQ个人网站】-响应式测试案例集</x:v>
      </x:c>
      <x:c r="E38" s="15" t="str">
        <x:v>YYQ20260720008</x:v>
      </x:c>
      <x:c r="F38" s="15" t="str">
        <x:v>RWD-001</x:v>
      </x:c>
      <x:c r="G38" s="13" t="str">
        <x:v>常用桌面分辨率布局</x:v>
      </x:c>
      <x:c r="H38" s="16" t="str">
        <x:v>多端适配-常用桌面分辨率布局</x:v>
      </x:c>
      <x:c r="I38" s="14" t="str">
        <x:v>正常案例</x:v>
      </x:c>
      <x:c r="J38" s="14" t="str">
        <x:v>执行测试</x:v>
      </x:c>
      <x:c r="K38" s="13" t="str">
        <x:v>1. 准备：站点可访问
2. 在 1366×768 与 1920×1080 检查全页
3. 测试数据：Chrome</x:v>
      </x:c>
      <x:c r="L38" s="13" t="str">
        <x:v>内容在最大宽度内居中；卡片栅格合理；无横向滚动条或文本裁切</x:v>
      </x:c>
      <x:c r="M38" s="14" t="str">
        <x:v>杨烨齐</x:v>
      </x:c>
      <x:c r="N38" s="15" t="str">
        <x:v>YYQ-WEB
v0.1.22</x:v>
      </x:c>
      <x:c r="O38" s="15" t="str">
        <x:v>R-P1</x:v>
      </x:c>
    </x:row>
    <x:row r="39" ht="68" customHeight="1">
      <x:c r="A39" s="14" t="str">
        <x:v>YYQ个人网站</x:v>
      </x:c>
      <x:c r="B39" s="14" t="str">
        <x:v>响应式</x:v>
      </x:c>
      <x:c r="C39" s="14" t="str">
        <x:v>多端适配</x:v>
      </x:c>
      <x:c r="D39" s="14" t="str">
        <x:v>【YYQ个人网站】-响应式测试案例集</x:v>
      </x:c>
      <x:c r="E39" s="15" t="str">
        <x:v>YYQ20260720008</x:v>
      </x:c>
      <x:c r="F39" s="15" t="str">
        <x:v>RWD-002</x:v>
      </x:c>
      <x:c r="G39" s="13" t="str">
        <x:v>常用手机分辨率布局</x:v>
      </x:c>
      <x:c r="H39" s="16" t="str">
        <x:v>多端适配-常用手机分辨率布局</x:v>
      </x:c>
      <x:c r="I39" s="14" t="str">
        <x:v>正常案例</x:v>
      </x:c>
      <x:c r="J39" s="14" t="str">
        <x:v>执行测试</x:v>
      </x:c>
      <x:c r="K39" s="13" t="str">
        <x:v>1. 准备：站点可访问
2. 在 375×667、390×844、430×932 检查全页
3. 测试数据：Chrome 设备模拟</x:v>
      </x:c>
      <x:c r="L39" s="13" t="str">
        <x:v>首屏按钮可操作；卡片单列；弹窗不超出视口；页面无横向滚动</x:v>
      </x:c>
      <x:c r="M39" s="14" t="str">
        <x:v>杨烨齐</x:v>
      </x:c>
      <x:c r="N39" s="15" t="str">
        <x:v>YYQ-WEB
v0.1.22</x:v>
      </x:c>
      <x:c r="O39" s="15" t="str">
        <x:v>R-P0</x:v>
      </x:c>
    </x:row>
    <x:row r="40" ht="68" customHeight="1">
      <x:c r="A40" s="14" t="str">
        <x:v>YYQ个人网站</x:v>
      </x:c>
      <x:c r="B40" s="14" t="str">
        <x:v>响应式</x:v>
      </x:c>
      <x:c r="C40" s="14" t="str">
        <x:v>多端适配</x:v>
      </x:c>
      <x:c r="D40" s="14" t="str">
        <x:v>【YYQ个人网站】-响应式测试案例集</x:v>
      </x:c>
      <x:c r="E40" s="15" t="str">
        <x:v>YYQ20260720008</x:v>
      </x:c>
      <x:c r="F40" s="15" t="str">
        <x:v>RWD-003</x:v>
      </x:c>
      <x:c r="G40" s="13" t="str">
        <x:v>平板分辨率布局</x:v>
      </x:c>
      <x:c r="H40" s="16" t="str">
        <x:v>多端适配-平板分辨率布局</x:v>
      </x:c>
      <x:c r="I40" s="14" t="str">
        <x:v>正常案例</x:v>
      </x:c>
      <x:c r="J40" s="14" t="str">
        <x:v>执行测试</x:v>
      </x:c>
      <x:c r="K40" s="13" t="str">
        <x:v>1. 准备：站点可访问
2. 在 768×1024 与 1024×768 检查全页
3. 测试数据：iPad 模拟</x:v>
      </x:c>
      <x:c r="L40" s="13" t="str">
        <x:v>导航和栅格在断点处切换自然；内容不重叠；触控目标易点击</x:v>
      </x:c>
      <x:c r="M40" s="14" t="str">
        <x:v>杨烨齐</x:v>
      </x:c>
      <x:c r="N40" s="15" t="str">
        <x:v>YYQ-WEB
v0.1.22</x:v>
      </x:c>
      <x:c r="O40" s="15" t="str">
        <x:v>R-P2</x:v>
      </x:c>
    </x:row>
    <x:row r="41" ht="68" customHeight="1">
      <x:c r="A41" s="14" t="str">
        <x:v>YYQ个人网站</x:v>
      </x:c>
      <x:c r="B41" s="14" t="str">
        <x:v>响应式</x:v>
      </x:c>
      <x:c r="C41" s="14" t="str">
        <x:v>多端适配</x:v>
      </x:c>
      <x:c r="D41" s="14" t="str">
        <x:v>【YYQ个人网站】-响应式测试案例集</x:v>
      </x:c>
      <x:c r="E41" s="15" t="str">
        <x:v>YYQ20260720008</x:v>
      </x:c>
      <x:c r="F41" s="15" t="str">
        <x:v>RWD-004</x:v>
      </x:c>
      <x:c r="G41" s="13" t="str">
        <x:v>窗口尺寸动态变化</x:v>
      </x:c>
      <x:c r="H41" s="16" t="str">
        <x:v>多端适配-窗口尺寸动态变化</x:v>
      </x:c>
      <x:c r="I41" s="14" t="str">
        <x:v>正常案例</x:v>
      </x:c>
      <x:c r="J41" s="14" t="str">
        <x:v>执行测试</x:v>
      </x:c>
      <x:c r="K41" s="13" t="str">
        <x:v>1. 准备：桌面浏览器已打开首页
2. 缓慢将窗口从 1440px 缩至 360px，再放大</x:v>
      </x:c>
      <x:c r="L41" s="13" t="str">
        <x:v>布局实时重排；背景图在断点后切换；无短暂严重错位或不可恢复状态</x:v>
      </x:c>
      <x:c r="M41" s="14" t="str">
        <x:v>杨烨齐</x:v>
      </x:c>
      <x:c r="N41" s="15" t="str">
        <x:v>YYQ-WEB
v0.1.22</x:v>
      </x:c>
      <x:c r="O41" s="15" t="str">
        <x:v>R-P2</x:v>
      </x:c>
    </x:row>
    <x:row r="42" ht="68" customHeight="1">
      <x:c r="A42" s="14" t="str">
        <x:v>YYQ个人网站</x:v>
      </x:c>
      <x:c r="B42" s="14" t="str">
        <x:v>访客统计</x:v>
      </x:c>
      <x:c r="C42" s="14" t="str">
        <x:v>访问埋点</x:v>
      </x:c>
      <x:c r="D42" s="14" t="str">
        <x:v>【YYQ个人网站】-访客统计测试案例集</x:v>
      </x:c>
      <x:c r="E42" s="15" t="str">
        <x:v>YYQ20260720009</x:v>
      </x:c>
      <x:c r="F42" s="15" t="str">
        <x:v>ANA-001</x:v>
      </x:c>
      <x:c r="G42" s="13" t="str">
        <x:v>首次访问发送 pageview</x:v>
      </x:c>
      <x:c r="H42" s="16" t="str">
        <x:v>访问埋点-首次访问发送 pageview</x:v>
      </x:c>
      <x:c r="I42" s="14" t="str">
        <x:v>正常案例</x:v>
      </x:c>
      <x:c r="J42" s="14" t="str">
        <x:v>执行测试</x:v>
      </x:c>
      <x:c r="K42" s="13" t="str">
        <x:v>1. 准备：清空 localStorage/sessionStorage，使用 Netlify 环境
2. 打开首页并查看 Network /api/visit
3. 测试数据：event=pageview</x:v>
      </x:c>
      <x:c r="L42" s="13" t="str">
        <x:v>发送一次 POST；包含 visitorId、sessionId、page、referrer、userAgent；接口返回成功</x:v>
      </x:c>
      <x:c r="M42" s="14" t="str">
        <x:v>杨烨齐</x:v>
      </x:c>
      <x:c r="N42" s="15" t="str">
        <x:v>YYQ-WEB
v0.1.22</x:v>
      </x:c>
      <x:c r="O42" s="15" t="str">
        <x:v>R-P1</x:v>
      </x:c>
    </x:row>
    <x:row r="43" ht="68" customHeight="1">
      <x:c r="A43" s="14" t="str">
        <x:v>YYQ个人网站</x:v>
      </x:c>
      <x:c r="B43" s="14" t="str">
        <x:v>访客统计</x:v>
      </x:c>
      <x:c r="C43" s="14" t="str">
        <x:v>访问埋点</x:v>
      </x:c>
      <x:c r="D43" s="14" t="str">
        <x:v>【YYQ个人网站】-访客统计测试案例集</x:v>
      </x:c>
      <x:c r="E43" s="15" t="str">
        <x:v>YYQ20260720009</x:v>
      </x:c>
      <x:c r="F43" s="15" t="str">
        <x:v>ANA-002</x:v>
      </x:c>
      <x:c r="G43" s="13" t="str">
        <x:v>同一浏览器访客 ID 持久化</x:v>
      </x:c>
      <x:c r="H43" s="16" t="str">
        <x:v>访问埋点-同一浏览器访客 ID 持久化</x:v>
      </x:c>
      <x:c r="I43" s="14" t="str">
        <x:v>正常案例</x:v>
      </x:c>
      <x:c r="J43" s="14" t="str">
        <x:v>执行测试</x:v>
      </x:c>
      <x:c r="K43" s="13" t="str">
        <x:v>1. 准备：已完成一次访问
2. 刷新页面并检查两次请求体
3. 测试数据：localStorage yyq-analytics-visitor-id</x:v>
      </x:c>
      <x:c r="L43" s="13" t="str">
        <x:v>visitorId 保持一致；同一标签页 sessionId 保持一致</x:v>
      </x:c>
      <x:c r="M43" s="14" t="str">
        <x:v>杨烨齐</x:v>
      </x:c>
      <x:c r="N43" s="15" t="str">
        <x:v>YYQ-WEB
v0.1.22</x:v>
      </x:c>
      <x:c r="O43" s="15" t="str">
        <x:v>R-P1</x:v>
      </x:c>
    </x:row>
    <x:row r="44" ht="68" customHeight="1">
      <x:c r="A44" s="14" t="str">
        <x:v>YYQ个人网站</x:v>
      </x:c>
      <x:c r="B44" s="14" t="str">
        <x:v>访客统计</x:v>
      </x:c>
      <x:c r="C44" s="14" t="str">
        <x:v>访问埋点</x:v>
      </x:c>
      <x:c r="D44" s="14" t="str">
        <x:v>【YYQ个人网站】-访客统计测试案例集</x:v>
      </x:c>
      <x:c r="E44" s="15" t="str">
        <x:v>YYQ20260720009</x:v>
      </x:c>
      <x:c r="F44" s="15" t="str">
        <x:v>ANA-003</x:v>
      </x:c>
      <x:c r="G44" s="13" t="str">
        <x:v>定时心跳发送</x:v>
      </x:c>
      <x:c r="H44" s="16" t="str">
        <x:v>访问埋点-定时心跳发送</x:v>
      </x:c>
      <x:c r="I44" s="14" t="str">
        <x:v>正常案例</x:v>
      </x:c>
      <x:c r="J44" s="14" t="str">
        <x:v>执行测试</x:v>
      </x:c>
      <x:c r="K44" s="13" t="str">
        <x:v>1. 准备：首页保持可见且使用 Netlify 环境
2. 等待至少 35 秒并查看 Network
3. 测试数据：event=heartbeat</x:v>
      </x:c>
      <x:c r="L44" s="13" t="str">
        <x:v>约 30 秒发送一次心跳；心跳不增加 pageview 计数</x:v>
      </x:c>
      <x:c r="M44" s="14" t="str">
        <x:v>杨烨齐</x:v>
      </x:c>
      <x:c r="N44" s="15" t="str">
        <x:v>YYQ-WEB
v0.1.22</x:v>
      </x:c>
      <x:c r="O44" s="15" t="str">
        <x:v>R-P2</x:v>
      </x:c>
    </x:row>
    <x:row r="45" ht="68" customHeight="1">
      <x:c r="A45" s="14" t="str">
        <x:v>YYQ个人网站</x:v>
      </x:c>
      <x:c r="B45" s="14" t="str">
        <x:v>访客统计</x:v>
      </x:c>
      <x:c r="C45" s="14" t="str">
        <x:v>访问埋点</x:v>
      </x:c>
      <x:c r="D45" s="14" t="str">
        <x:v>【YYQ个人网站】-访客统计测试案例集</x:v>
      </x:c>
      <x:c r="E45" s="15" t="str">
        <x:v>YYQ20260720009</x:v>
      </x:c>
      <x:c r="F45" s="15" t="str">
        <x:v>ANA-004</x:v>
      </x:c>
      <x:c r="G45" s="13" t="str">
        <x:v>页面隐藏时使用 Beacon 心跳</x:v>
      </x:c>
      <x:c r="H45" s="16" t="str">
        <x:v>访问埋点-页面隐藏时使用 Beacon 心跳</x:v>
      </x:c>
      <x:c r="I45" s="14" t="str">
        <x:v>正常案例</x:v>
      </x:c>
      <x:c r="J45" s="14" t="str">
        <x:v>执行测试</x:v>
      </x:c>
      <x:c r="K45" s="13" t="str">
        <x:v>1. 准备：浏览器支持 sendBeacon
2. 切换到其他标签页或关闭页面
3. 测试数据：visibilitychange=hidden</x:v>
      </x:c>
      <x:c r="L45" s="13" t="str">
        <x:v>向 /api/visit 发送 heartbeat Beacon；离开页面不会产生未处理异常</x:v>
      </x:c>
      <x:c r="M45" s="14" t="str">
        <x:v>杨烨齐</x:v>
      </x:c>
      <x:c r="N45" s="15" t="str">
        <x:v>YYQ-WEB
v0.1.22</x:v>
      </x:c>
      <x:c r="O45" s="15" t="str">
        <x:v>R-P2</x:v>
      </x:c>
    </x:row>
    <x:row r="46" ht="68" customHeight="1">
      <x:c r="A46" s="14" t="str">
        <x:v>YYQ个人网站</x:v>
      </x:c>
      <x:c r="B46" s="14" t="str">
        <x:v>访客统计</x:v>
      </x:c>
      <x:c r="C46" s="14" t="str">
        <x:v>访问埋点</x:v>
      </x:c>
      <x:c r="D46" s="14" t="str">
        <x:v>【YYQ个人网站】-访客统计测试案例集</x:v>
      </x:c>
      <x:c r="E46" s="15" t="str">
        <x:v>YYQ20260720009</x:v>
      </x:c>
      <x:c r="F46" s="15" t="str">
        <x:v>ANA-005</x:v>
      </x:c>
      <x:c r="G46" s="13" t="str">
        <x:v>统计接口不可用不影响前台</x:v>
      </x:c>
      <x:c r="H46" s="16" t="str">
        <x:v>访问埋点-统计接口不可用不影响前台</x:v>
      </x:c>
      <x:c r="I46" s="14" t="str">
        <x:v>异常案例</x:v>
      </x:c>
      <x:c r="J46" s="14" t="str">
        <x:v>执行测试</x:v>
      </x:c>
      <x:c r="K46" s="13" t="str">
        <x:v>1. 准备：阻止 /api/visit 请求
2. 刷新并浏览网站全部主要区块
3. 测试数据：模拟 404/网络断开</x:v>
      </x:c>
      <x:c r="L46" s="13" t="str">
        <x:v>前台功能与动效正常；无错误弹窗；失败请求被静默处理</x:v>
      </x:c>
      <x:c r="M46" s="14" t="str">
        <x:v>杨烨齐</x:v>
      </x:c>
      <x:c r="N46" s="15" t="str">
        <x:v>YYQ-WEB
v0.1.22</x:v>
      </x:c>
      <x:c r="O46" s="15" t="str">
        <x:v>R-P0</x:v>
      </x:c>
    </x:row>
    <x:row r="47" ht="68" customHeight="1">
      <x:c r="A47" s="14" t="str">
        <x:v>YYQ个人网站</x:v>
      </x:c>
      <x:c r="B47" s="14" t="str">
        <x:v>统计后台</x:v>
      </x:c>
      <x:c r="C47" s="14" t="str">
        <x:v>统计管理</x:v>
      </x:c>
      <x:c r="D47" s="14" t="str">
        <x:v>【YYQ个人网站】-统计后台测试案例集</x:v>
      </x:c>
      <x:c r="E47" s="15" t="str">
        <x:v>YYQ20260720010</x:v>
      </x:c>
      <x:c r="F47" s="15" t="str">
        <x:v>ADM-001</x:v>
      </x:c>
      <x:c r="G47" s="13" t="str">
        <x:v>隐藏入口进入后台</x:v>
      </x:c>
      <x:c r="H47" s="16" t="str">
        <x:v>统计管理-隐藏入口进入后台</x:v>
      </x:c>
      <x:c r="I47" s="14" t="str">
        <x:v>正常案例</x:v>
      </x:c>
      <x:c r="J47" s="14" t="str">
        <x:v>执行测试</x:v>
      </x:c>
      <x:c r="K47" s="13" t="str">
        <x:v>1. 准备：站点可访问
2. 地址栏输入 #admin</x:v>
      </x:c>
      <x:c r="L47" s="13" t="str">
        <x:v>显示访问统计后台；首页内容隐藏；联系按钮仍可使用</x:v>
      </x:c>
      <x:c r="M47" s="14" t="str">
        <x:v>杨烨齐</x:v>
      </x:c>
      <x:c r="N47" s="15" t="str">
        <x:v>YYQ-WEB
v0.1.22</x:v>
      </x:c>
      <x:c r="O47" s="15" t="str">
        <x:v>R-P0</x:v>
      </x:c>
    </x:row>
    <x:row r="48" ht="68" customHeight="1">
      <x:c r="A48" s="14" t="str">
        <x:v>YYQ个人网站</x:v>
      </x:c>
      <x:c r="B48" s="14" t="str">
        <x:v>统计后台</x:v>
      </x:c>
      <x:c r="C48" s="14" t="str">
        <x:v>统计管理</x:v>
      </x:c>
      <x:c r="D48" s="14" t="str">
        <x:v>【YYQ个人网站】-统计后台测试案例集</x:v>
      </x:c>
      <x:c r="E48" s="15" t="str">
        <x:v>YYQ20260720010</x:v>
      </x:c>
      <x:c r="F48" s="15" t="str">
        <x:v>ADM-002</x:v>
      </x:c>
      <x:c r="G48" s="13" t="str">
        <x:v>正确口令加载统计数据</x:v>
      </x:c>
      <x:c r="H48" s="16" t="str">
        <x:v>统计管理-正确口令加载统计数据</x:v>
      </x:c>
      <x:c r="I48" s="14" t="str">
        <x:v>正常案例</x:v>
      </x:c>
      <x:c r="J48" s="14" t="str">
        <x:v>执行测试</x:v>
      </x:c>
      <x:c r="K48" s="13" t="str">
        <x:v>1. 准备：已配置 VISITOR_ADMIN_TOKEN
2. 输入正确后台口令并点击“刷新统计”
3. 测试数据：有效口令</x:v>
      </x:c>
      <x:c r="L48" s="13" t="str">
        <x:v>展示总访问次数、独立访客、今日访问、当前在线和最近访客；无错误提示</x:v>
      </x:c>
      <x:c r="M48" s="14" t="str">
        <x:v>杨烨齐</x:v>
      </x:c>
      <x:c r="N48" s="15" t="str">
        <x:v>YYQ-WEB
v0.1.22</x:v>
      </x:c>
      <x:c r="O48" s="15" t="str">
        <x:v>R-P0</x:v>
      </x:c>
    </x:row>
    <x:row r="49" ht="68" customHeight="1">
      <x:c r="A49" s="14" t="str">
        <x:v>YYQ个人网站</x:v>
      </x:c>
      <x:c r="B49" s="14" t="str">
        <x:v>统计后台</x:v>
      </x:c>
      <x:c r="C49" s="14" t="str">
        <x:v>统计管理</x:v>
      </x:c>
      <x:c r="D49" s="14" t="str">
        <x:v>【YYQ个人网站】-统计后台测试案例集</x:v>
      </x:c>
      <x:c r="E49" s="15" t="str">
        <x:v>YYQ20260720010</x:v>
      </x:c>
      <x:c r="F49" s="15" t="str">
        <x:v>ADM-003</x:v>
      </x:c>
      <x:c r="G49" s="13" t="str">
        <x:v>错误口令提示未授权</x:v>
      </x:c>
      <x:c r="H49" s="16" t="str">
        <x:v>统计管理-错误口令提示未授权</x:v>
      </x:c>
      <x:c r="I49" s="14" t="str">
        <x:v>异常案例</x:v>
      </x:c>
      <x:c r="J49" s="14" t="str">
        <x:v>执行测试</x:v>
      </x:c>
      <x:c r="K49" s="13" t="str">
        <x:v>1. 准备：已配置 VISITOR_ADMIN_TOKEN
2. 输入错误口令并刷新
3. 测试数据：wrong-token</x:v>
      </x:c>
      <x:c r="L49" s="13" t="str">
        <x:v>接口返回 401；页面显示明确的口令错误提示；不展示统计明细</x:v>
      </x:c>
      <x:c r="M49" s="14" t="str">
        <x:v>杨烨齐</x:v>
      </x:c>
      <x:c r="N49" s="15" t="str">
        <x:v>YYQ-WEB
v0.1.22</x:v>
      </x:c>
      <x:c r="O49" s="15" t="str">
        <x:v>R-P0</x:v>
      </x:c>
    </x:row>
    <x:row r="50" ht="68" customHeight="1">
      <x:c r="A50" s="14" t="str">
        <x:v>YYQ个人网站</x:v>
      </x:c>
      <x:c r="B50" s="14" t="str">
        <x:v>统计后台</x:v>
      </x:c>
      <x:c r="C50" s="14" t="str">
        <x:v>统计管理</x:v>
      </x:c>
      <x:c r="D50" s="14" t="str">
        <x:v>【YYQ个人网站】-统计后台测试案例集</x:v>
      </x:c>
      <x:c r="E50" s="15" t="str">
        <x:v>YYQ20260720010</x:v>
      </x:c>
      <x:c r="F50" s="15" t="str">
        <x:v>ADM-004</x:v>
      </x:c>
      <x:c r="G50" s="13" t="str">
        <x:v>口令以密码形式输入并保存在会话</x:v>
      </x:c>
      <x:c r="H50" s="16" t="str">
        <x:v>统计管理-口令以密码形式输入并保存在会话</x:v>
      </x:c>
      <x:c r="I50" s="14" t="str">
        <x:v>异常案例</x:v>
      </x:c>
      <x:c r="J50" s="14" t="str">
        <x:v>执行测试</x:v>
      </x:c>
      <x:c r="K50" s="13" t="str">
        <x:v>1. 准备：已进入 #admin
2. 输入口令、刷新页面、关闭标签页后重新打开
3. 测试数据：有效口令</x:v>
      </x:c>
      <x:c r="L50" s="13" t="str">
        <x:v>输入框 type=password；同一标签页刷新后仍保留；新会话不应从 localStorage 长期恢复</x:v>
      </x:c>
      <x:c r="M50" s="14" t="str">
        <x:v>杨烨齐</x:v>
      </x:c>
      <x:c r="N50" s="15" t="str">
        <x:v>YYQ-WEB
v0.1.22</x:v>
      </x:c>
      <x:c r="O50" s="15" t="str">
        <x:v>R-P1</x:v>
      </x:c>
    </x:row>
    <x:row r="51" ht="68" customHeight="1">
      <x:c r="A51" s="14" t="str">
        <x:v>YYQ个人网站</x:v>
      </x:c>
      <x:c r="B51" s="14" t="str">
        <x:v>统计后台</x:v>
      </x:c>
      <x:c r="C51" s="14" t="str">
        <x:v>统计管理</x:v>
      </x:c>
      <x:c r="D51" s="14" t="str">
        <x:v>【YYQ个人网站】-统计后台测试案例集</x:v>
      </x:c>
      <x:c r="E51" s="15" t="str">
        <x:v>YYQ20260720010</x:v>
      </x:c>
      <x:c r="F51" s="15" t="str">
        <x:v>ADM-005</x:v>
      </x:c>
      <x:c r="G51" s="13" t="str">
        <x:v>统计接口异常提示</x:v>
      </x:c>
      <x:c r="H51" s="16" t="str">
        <x:v>统计管理-统计接口异常提示</x:v>
      </x:c>
      <x:c r="I51" s="14" t="str">
        <x:v>异常案例</x:v>
      </x:c>
      <x:c r="J51" s="14" t="str">
        <x:v>执行测试</x:v>
      </x:c>
      <x:c r="K51" s="13" t="str">
        <x:v>1. 准备：阻止 /api/stats 或返回 500
2. 进入 #admin 并刷新统计
3. 测试数据：HTTP 500/断网</x:v>
      </x:c>
      <x:c r="L51" s="13" t="str">
        <x:v>显示“暂时连接不到统计接口”提示；页面不白屏；可再次提交重试</x:v>
      </x:c>
      <x:c r="M51" s="14" t="str">
        <x:v>杨烨齐</x:v>
      </x:c>
      <x:c r="N51" s="15" t="str">
        <x:v>YYQ-WEB
v0.1.22</x:v>
      </x:c>
      <x:c r="O51" s="15" t="str">
        <x:v>R-P1</x:v>
      </x:c>
    </x:row>
    <x:row r="52" ht="68" customHeight="1">
      <x:c r="A52" s="14" t="str">
        <x:v>YYQ个人网站</x:v>
      </x:c>
      <x:c r="B52" s="14" t="str">
        <x:v>统计后台</x:v>
      </x:c>
      <x:c r="C52" s="14" t="str">
        <x:v>统计管理</x:v>
      </x:c>
      <x:c r="D52" s="14" t="str">
        <x:v>【YYQ个人网站】-统计后台测试案例集</x:v>
      </x:c>
      <x:c r="E52" s="15" t="str">
        <x:v>YYQ20260720010</x:v>
      </x:c>
      <x:c r="F52" s="15" t="str">
        <x:v>ADM-006</x:v>
      </x:c>
      <x:c r="G52" s="13" t="str">
        <x:v>后台定时自动刷新</x:v>
      </x:c>
      <x:c r="H52" s="16" t="str">
        <x:v>统计管理-后台定时自动刷新</x:v>
      </x:c>
      <x:c r="I52" s="14" t="str">
        <x:v>正常案例</x:v>
      </x:c>
      <x:c r="J52" s="14" t="str">
        <x:v>执行测试</x:v>
      </x:c>
      <x:c r="K52" s="13" t="str">
        <x:v>1. 准备：已成功加载统计数据
2. 保持页面至少 35 秒并观察请求</x:v>
      </x:c>
      <x:c r="L52" s="13" t="str">
        <x:v>约 30 秒自动请求一次 /api/stats；最新刷新时间与数据更新；无重复定时器堆积</x:v>
      </x:c>
      <x:c r="M52" s="14" t="str">
        <x:v>杨烨齐</x:v>
      </x:c>
      <x:c r="N52" s="15" t="str">
        <x:v>YYQ-WEB
v0.1.22</x:v>
      </x:c>
      <x:c r="O52" s="15" t="str">
        <x:v>R-P2</x:v>
      </x:c>
    </x:row>
    <x:row r="53" ht="68" customHeight="1">
      <x:c r="A53" s="14" t="str">
        <x:v>YYQ个人网站</x:v>
      </x:c>
      <x:c r="B53" s="14" t="str">
        <x:v>统计 API</x:v>
      </x:c>
      <x:c r="C53" s="14" t="str">
        <x:v>统计接口</x:v>
      </x:c>
      <x:c r="D53" s="14" t="str">
        <x:v>【YYQ个人网站】-统计 API测试案例集</x:v>
      </x:c>
      <x:c r="E53" s="15" t="str">
        <x:v>YYQ20260720011</x:v>
      </x:c>
      <x:c r="F53" s="15" t="str">
        <x:v>API-001</x:v>
      </x:c>
      <x:c r="G53" s="13" t="str">
        <x:v>OPTIONS 预检请求</x:v>
      </x:c>
      <x:c r="H53" s="16" t="str">
        <x:v>统计接口-OPTIONS 预检请求</x:v>
      </x:c>
      <x:c r="I53" s="14" t="str">
        <x:v>正常案例</x:v>
      </x:c>
      <x:c r="J53" s="14" t="str">
        <x:v>执行测试</x:v>
      </x:c>
      <x:c r="K53" s="13" t="str">
        <x:v>1. 准备：Netlify Function 已部署
2. 向 /api/visit 或 /api/stats 发送 OPTIONS</x:v>
      </x:c>
      <x:c r="L53" s="13" t="str">
        <x:v>返回 204；允许 GET、POST、OPTIONS；允许 Content-Type 和 x-admin-token；Cache-Control=no-store</x:v>
      </x:c>
      <x:c r="M53" s="14" t="str">
        <x:v>杨烨齐</x:v>
      </x:c>
      <x:c r="N53" s="15" t="str">
        <x:v>YYQ-WEB
v0.1.22</x:v>
      </x:c>
      <x:c r="O53" s="15" t="str">
        <x:v>R-P1</x:v>
      </x:c>
    </x:row>
    <x:row r="54" ht="68" customHeight="1">
      <x:c r="A54" s="14" t="str">
        <x:v>YYQ个人网站</x:v>
      </x:c>
      <x:c r="B54" s="14" t="str">
        <x:v>统计 API</x:v>
      </x:c>
      <x:c r="C54" s="14" t="str">
        <x:v>统计接口</x:v>
      </x:c>
      <x:c r="D54" s="14" t="str">
        <x:v>【YYQ个人网站】-统计 API测试案例集</x:v>
      </x:c>
      <x:c r="E54" s="15" t="str">
        <x:v>YYQ20260720011</x:v>
      </x:c>
      <x:c r="F54" s="15" t="str">
        <x:v>API-002</x:v>
      </x:c>
      <x:c r="G54" s="13" t="str">
        <x:v>合法 pageview 累加统计</x:v>
      </x:c>
      <x:c r="H54" s="16" t="str">
        <x:v>统计接口-合法 pageview 累加统计</x:v>
      </x:c>
      <x:c r="I54" s="14" t="str">
        <x:v>正常案例</x:v>
      </x:c>
      <x:c r="J54" s="14" t="str">
        <x:v>执行测试</x:v>
      </x:c>
      <x:c r="K54" s="13" t="str">
        <x:v>1. 准备：可读取统计数据
2. POST /api/visit 后 GET /api/stats
3. 测试数据：合法 visitorId/sessionId</x:v>
      </x:c>
      <x:c r="L54" s="13" t="str">
        <x:v>totalVisits 与 todayVisits 增加 1；新 visitorId 时 totalVisitors 增加 1；lastVisitAt 更新</x:v>
      </x:c>
      <x:c r="M54" s="14" t="str">
        <x:v>杨烨齐</x:v>
      </x:c>
      <x:c r="N54" s="15" t="str">
        <x:v>YYQ-WEB
v0.1.22</x:v>
      </x:c>
      <x:c r="O54" s="15" t="str">
        <x:v>R-P0</x:v>
      </x:c>
    </x:row>
    <x:row r="55" ht="68" customHeight="1">
      <x:c r="A55" s="14" t="str">
        <x:v>YYQ个人网站</x:v>
      </x:c>
      <x:c r="B55" s="14" t="str">
        <x:v>统计 API</x:v>
      </x:c>
      <x:c r="C55" s="14" t="str">
        <x:v>统计接口</x:v>
      </x:c>
      <x:c r="D55" s="14" t="str">
        <x:v>【YYQ个人网站】-统计 API测试案例集</x:v>
      </x:c>
      <x:c r="E55" s="15" t="str">
        <x:v>YYQ20260720011</x:v>
      </x:c>
      <x:c r="F55" s="15" t="str">
        <x:v>API-003</x:v>
      </x:c>
      <x:c r="G55" s="13" t="str">
        <x:v>heartbeat 不累加访问次数</x:v>
      </x:c>
      <x:c r="H55" s="16" t="str">
        <x:v>统计接口-heartbeat 不累加访问次数</x:v>
      </x:c>
      <x:c r="I55" s="14" t="str">
        <x:v>正常案例</x:v>
      </x:c>
      <x:c r="J55" s="14" t="str">
        <x:v>执行测试</x:v>
      </x:c>
      <x:c r="K55" s="13" t="str">
        <x:v>1. 准备：已有会话数据
2. 记录统计值，POST heartbeat，再读取统计
3. 测试数据：相同 visitorId/sessionId</x:v>
      </x:c>
      <x:c r="L55" s="13" t="str">
        <x:v>totalVisits、todayVisits 不增加；会话 lastSeenAt 更新，在线状态保持</x:v>
      </x:c>
      <x:c r="M55" s="14" t="str">
        <x:v>杨烨齐</x:v>
      </x:c>
      <x:c r="N55" s="15" t="str">
        <x:v>YYQ-WEB
v0.1.22</x:v>
      </x:c>
      <x:c r="O55" s="15" t="str">
        <x:v>R-P1</x:v>
      </x:c>
    </x:row>
    <x:row r="56" ht="68" customHeight="1">
      <x:c r="A56" s="14" t="str">
        <x:v>YYQ个人网站</x:v>
      </x:c>
      <x:c r="B56" s="14" t="str">
        <x:v>统计 API</x:v>
      </x:c>
      <x:c r="C56" s="14" t="str">
        <x:v>统计接口</x:v>
      </x:c>
      <x:c r="D56" s="14" t="str">
        <x:v>【YYQ个人网站】-统计 API测试案例集</x:v>
      </x:c>
      <x:c r="E56" s="15" t="str">
        <x:v>YYQ20260720011</x:v>
      </x:c>
      <x:c r="F56" s="15" t="str">
        <x:v>API-004</x:v>
      </x:c>
      <x:c r="G56" s="13" t="str">
        <x:v>重复访客不重复计入独立访客</x:v>
      </x:c>
      <x:c r="H56" s="16" t="str">
        <x:v>统计接口-重复访客不重复计入独立访客</x:v>
      </x:c>
      <x:c r="I56" s="14" t="str">
        <x:v>正常案例</x:v>
      </x:c>
      <x:c r="J56" s="14" t="str">
        <x:v>执行测试</x:v>
      </x:c>
      <x:c r="K56" s="13" t="str">
        <x:v>1. 准备：已有 visitorId
2. 使用相同 visitorId、不同 sessionId 连续发送 pageview
3. 测试数据：同一 visitorId</x:v>
      </x:c>
      <x:c r="L56" s="13" t="str">
        <x:v>totalVisitors 仅首次增加；totalVisits 按页面访问次数增加</x:v>
      </x:c>
      <x:c r="M56" s="14" t="str">
        <x:v>杨烨齐</x:v>
      </x:c>
      <x:c r="N56" s="15" t="str">
        <x:v>YYQ-WEB
v0.1.22</x:v>
      </x:c>
      <x:c r="O56" s="15" t="str">
        <x:v>R-P1</x:v>
      </x:c>
    </x:row>
    <x:row r="57" ht="68" customHeight="1">
      <x:c r="A57" s="14" t="str">
        <x:v>YYQ个人网站</x:v>
      </x:c>
      <x:c r="B57" s="14" t="str">
        <x:v>统计 API</x:v>
      </x:c>
      <x:c r="C57" s="14" t="str">
        <x:v>统计接口</x:v>
      </x:c>
      <x:c r="D57" s="14" t="str">
        <x:v>【YYQ个人网站】-统计 API测试案例集</x:v>
      </x:c>
      <x:c r="E57" s="15" t="str">
        <x:v>YYQ20260720011</x:v>
      </x:c>
      <x:c r="F57" s="15" t="str">
        <x:v>API-005</x:v>
      </x:c>
      <x:c r="G57" s="13" t="str">
        <x:v>统计口令鉴权</x:v>
      </x:c>
      <x:c r="H57" s="16" t="str">
        <x:v>统计接口-统计口令鉴权</x:v>
      </x:c>
      <x:c r="I57" s="14" t="str">
        <x:v>异常案例</x:v>
      </x:c>
      <x:c r="J57" s="14" t="str">
        <x:v>执行测试</x:v>
      </x:c>
      <x:c r="K57" s="13" t="str">
        <x:v>1. 准备：VISITOR_ADMIN_TOKEN 已配置
2. 分别不带口令、带错误口令、带正确口令 GET /api/stats
3. 测试数据：x-admin-token</x:v>
      </x:c>
      <x:c r="L57" s="13" t="str">
        <x:v>前两次返回 401；正确口令返回 200；响应不泄露配置口令</x:v>
      </x:c>
      <x:c r="M57" s="14" t="str">
        <x:v>杨烨齐</x:v>
      </x:c>
      <x:c r="N57" s="15" t="str">
        <x:v>YYQ-WEB
v0.1.22</x:v>
      </x:c>
      <x:c r="O57" s="15" t="str">
        <x:v>R-P0</x:v>
      </x:c>
    </x:row>
    <x:row r="58" ht="68" customHeight="1">
      <x:c r="A58" s="14" t="str">
        <x:v>YYQ个人网站</x:v>
      </x:c>
      <x:c r="B58" s="14" t="str">
        <x:v>统计 API</x:v>
      </x:c>
      <x:c r="C58" s="14" t="str">
        <x:v>统计接口</x:v>
      </x:c>
      <x:c r="D58" s="14" t="str">
        <x:v>【YYQ个人网站】-统计 API测试案例集</x:v>
      </x:c>
      <x:c r="E58" s="15" t="str">
        <x:v>YYQ20260720011</x:v>
      </x:c>
      <x:c r="F58" s="15" t="str">
        <x:v>API-006</x:v>
      </x:c>
      <x:c r="G58" s="13" t="str">
        <x:v>非法或缺失事件字段容错</x:v>
      </x:c>
      <x:c r="H58" s="16" t="str">
        <x:v>统计接口-非法或缺失事件字段容错</x:v>
      </x:c>
      <x:c r="I58" s="14" t="str">
        <x:v>异常案例</x:v>
      </x:c>
      <x:c r="J58" s="14" t="str">
        <x:v>执行测试</x:v>
      </x:c>
      <x:c r="K58" s="13" t="str">
        <x:v>1. 准备：Function 已部署
2. POST 空对象及 event=unknown
3. 测试数据：{}；{event:'unknown'}</x:v>
      </x:c>
      <x:c r="L58" s="13" t="str">
        <x:v>请求被安全处理为 pageview 或按既定默认逻辑处理；不返回 500；生成的 ID/字段经过清洗</x:v>
      </x:c>
      <x:c r="M58" s="14" t="str">
        <x:v>杨烨齐</x:v>
      </x:c>
      <x:c r="N58" s="15" t="str">
        <x:v>YYQ-WEB
v0.1.22</x:v>
      </x:c>
      <x:c r="O58" s="15" t="str">
        <x:v>R-P1</x:v>
      </x:c>
    </x:row>
    <x:row r="59" ht="68" customHeight="1">
      <x:c r="A59" s="14" t="str">
        <x:v>YYQ个人网站</x:v>
      </x:c>
      <x:c r="B59" s="14" t="str">
        <x:v>统计 API</x:v>
      </x:c>
      <x:c r="C59" s="14" t="str">
        <x:v>统计接口</x:v>
      </x:c>
      <x:c r="D59" s="14" t="str">
        <x:v>【YYQ个人网站】-统计 API测试案例集</x:v>
      </x:c>
      <x:c r="E59" s="15" t="str">
        <x:v>YYQ20260720011</x:v>
      </x:c>
      <x:c r="F59" s="15" t="str">
        <x:v>API-007</x:v>
      </x:c>
      <x:c r="G59" s="13" t="str">
        <x:v>超长输入被截断</x:v>
      </x:c>
      <x:c r="H59" s="16" t="str">
        <x:v>统计接口-超长输入被截断</x:v>
      </x:c>
      <x:c r="I59" s="14" t="str">
        <x:v>异常案例</x:v>
      </x:c>
      <x:c r="J59" s="14" t="str">
        <x:v>执行测试</x:v>
      </x:c>
      <x:c r="K59" s="13" t="str">
        <x:v>1. 准备：Function 已部署
2. 提交超长 page、referrer、userAgent 和 ID
3. 测试数据：各字段超过 500 字符</x:v>
      </x:c>
      <x:c r="L59" s="13" t="str">
        <x:v>服务端限制字段长度；响应成功或明确拒绝；存储与后台页面不被超长文本破坏</x:v>
      </x:c>
      <x:c r="M59" s="14" t="str">
        <x:v>杨烨齐</x:v>
      </x:c>
      <x:c r="N59" s="15" t="str">
        <x:v>YYQ-WEB
v0.1.22</x:v>
      </x:c>
      <x:c r="O59" s="15" t="str">
        <x:v>R-P1</x:v>
      </x:c>
    </x:row>
    <x:row r="60" ht="68" customHeight="1">
      <x:c r="A60" s="14" t="str">
        <x:v>YYQ个人网站</x:v>
      </x:c>
      <x:c r="B60" s="14" t="str">
        <x:v>统计 API</x:v>
      </x:c>
      <x:c r="C60" s="14" t="str">
        <x:v>统计接口</x:v>
      </x:c>
      <x:c r="D60" s="14" t="str">
        <x:v>【YYQ个人网站】-统计 API测试案例集</x:v>
      </x:c>
      <x:c r="E60" s="15" t="str">
        <x:v>YYQ20260720011</x:v>
      </x:c>
      <x:c r="F60" s="15" t="str">
        <x:v>API-008</x:v>
      </x:c>
      <x:c r="G60" s="13" t="str">
        <x:v>不支持的路径或方法</x:v>
      </x:c>
      <x:c r="H60" s="16" t="str">
        <x:v>统计接口-不支持的路径或方法</x:v>
      </x:c>
      <x:c r="I60" s="14" t="str">
        <x:v>正常案例</x:v>
      </x:c>
      <x:c r="J60" s="14" t="str">
        <x:v>执行测试</x:v>
      </x:c>
      <x:c r="K60" s="13" t="str">
        <x:v>1. 准备：Function 已部署
2. GET /api/visit、POST /api/stats 或访问其他路径</x:v>
      </x:c>
      <x:c r="L60" s="13" t="str">
        <x:v>返回 405 和 JSON 错误；不修改统计数据</x:v>
      </x:c>
      <x:c r="M60" s="14" t="str">
        <x:v>杨烨齐</x:v>
      </x:c>
      <x:c r="N60" s="15" t="str">
        <x:v>YYQ-WEB
v0.1.22</x:v>
      </x:c>
      <x:c r="O60" s="15" t="str">
        <x:v>R-P1</x:v>
      </x:c>
    </x:row>
    <x:row r="61" ht="68" customHeight="1">
      <x:c r="A61" s="14" t="str">
        <x:v>YYQ个人网站</x:v>
      </x:c>
      <x:c r="B61" s="14" t="str">
        <x:v>统计 API</x:v>
      </x:c>
      <x:c r="C61" s="14" t="str">
        <x:v>统计接口</x:v>
      </x:c>
      <x:c r="D61" s="14" t="str">
        <x:v>【YYQ个人网站】-统计 API测试案例集</x:v>
      </x:c>
      <x:c r="E61" s="15" t="str">
        <x:v>YYQ20260720011</x:v>
      </x:c>
      <x:c r="F61" s="15" t="str">
        <x:v>API-009</x:v>
      </x:c>
      <x:c r="G61" s="13" t="str">
        <x:v>在线人数窗口计算</x:v>
      </x:c>
      <x:c r="H61" s="16" t="str">
        <x:v>统计接口-在线人数窗口计算</x:v>
      </x:c>
      <x:c r="I61" s="14" t="str">
        <x:v>正常案例</x:v>
      </x:c>
      <x:c r="J61" s="14" t="str">
        <x:v>执行测试</x:v>
      </x:c>
      <x:c r="K61" s="13" t="str">
        <x:v>1. 准备：可控制两个测试会话
2. 两会话发送心跳，等待超过 90 秒仅让其中一个继续心跳
3. 测试数据：2 个 sessionId</x:v>
      </x:c>
      <x:c r="L61" s="13" t="str">
        <x:v>90 秒内两人在线；超时后仅持续心跳的会话计入 onlineCount</x:v>
      </x:c>
      <x:c r="M61" s="14" t="str">
        <x:v>杨烨齐</x:v>
      </x:c>
      <x:c r="N61" s="15" t="str">
        <x:v>YYQ-WEB
v0.1.22</x:v>
      </x:c>
      <x:c r="O61" s="15" t="str">
        <x:v>R-P2</x:v>
      </x:c>
    </x:row>
    <x:row r="62" ht="68" customHeight="1">
      <x:c r="A62" s="14" t="str">
        <x:v>YYQ个人网站</x:v>
      </x:c>
      <x:c r="B62" s="14" t="str">
        <x:v>可访问性</x:v>
      </x:c>
      <x:c r="C62" s="14" t="str">
        <x:v>无障碍访问</x:v>
      </x:c>
      <x:c r="D62" s="14" t="str">
        <x:v>【YYQ个人网站】-可访问性测试案例集</x:v>
      </x:c>
      <x:c r="E62" s="15" t="str">
        <x:v>YYQ20260720012</x:v>
      </x:c>
      <x:c r="F62" s="15" t="str">
        <x:v>A11Y-001</x:v>
      </x:c>
      <x:c r="G62" s="13" t="str">
        <x:v>键盘可访问主要交互</x:v>
      </x:c>
      <x:c r="H62" s="16" t="str">
        <x:v>无障碍访问-键盘可访问主要交互</x:v>
      </x:c>
      <x:c r="I62" s="14" t="str">
        <x:v>正常案例</x:v>
      </x:c>
      <x:c r="J62" s="14" t="str">
        <x:v>执行测试</x:v>
      </x:c>
      <x:c r="K62" s="13" t="str">
        <x:v>1. 准备：不使用鼠标
2. 使用 Tab/Shift+Tab/Enter 遍历导航、按钮、公司折叠和弹窗
3. 测试数据：键盘</x:v>
      </x:c>
      <x:c r="L62" s="13" t="str">
        <x:v>所有主要控件可聚焦并触发；焦点顺序符合视觉顺序；焦点样式清晰</x:v>
      </x:c>
      <x:c r="M62" s="14" t="str">
        <x:v>杨烨齐</x:v>
      </x:c>
      <x:c r="N62" s="15" t="str">
        <x:v>YYQ-WEB
v0.1.22</x:v>
      </x:c>
      <x:c r="O62" s="15" t="str">
        <x:v>R-P0</x:v>
      </x:c>
    </x:row>
    <x:row r="63" ht="68" customHeight="1">
      <x:c r="A63" s="14" t="str">
        <x:v>YYQ个人网站</x:v>
      </x:c>
      <x:c r="B63" s="14" t="str">
        <x:v>可访问性</x:v>
      </x:c>
      <x:c r="C63" s="14" t="str">
        <x:v>无障碍访问</x:v>
      </x:c>
      <x:c r="D63" s="14" t="str">
        <x:v>【YYQ个人网站】-可访问性测试案例集</x:v>
      </x:c>
      <x:c r="E63" s="15" t="str">
        <x:v>YYQ20260720012</x:v>
      </x:c>
      <x:c r="F63" s="15" t="str">
        <x:v>A11Y-002</x:v>
      </x:c>
      <x:c r="G63" s="13" t="str">
        <x:v>折叠按钮状态可被辅助技术识别</x:v>
      </x:c>
      <x:c r="H63" s="16" t="str">
        <x:v>无障碍访问-折叠按钮状态可被辅助技术识别</x:v>
      </x:c>
      <x:c r="I63" s="14" t="str">
        <x:v>正常案例</x:v>
      </x:c>
      <x:c r="J63" s="14" t="str">
        <x:v>执行测试</x:v>
      </x:c>
      <x:c r="K63" s="13" t="str">
        <x:v>1. 准备：屏幕阅读器开启
2. 展开和收起公司履历
3. 测试数据：NVDA</x:v>
      </x:c>
      <x:c r="L63" s="13" t="str">
        <x:v>按钮具有正确 aria-expanded，状态变化可被读取；按钮名称可理解</x:v>
      </x:c>
      <x:c r="M63" s="14" t="str">
        <x:v>杨烨齐</x:v>
      </x:c>
      <x:c r="N63" s="15" t="str">
        <x:v>YYQ-WEB
v0.1.22</x:v>
      </x:c>
      <x:c r="O63" s="15" t="str">
        <x:v>R-P1</x:v>
      </x:c>
    </x:row>
    <x:row r="64" ht="68" customHeight="1">
      <x:c r="A64" s="14" t="str">
        <x:v>YYQ个人网站</x:v>
      </x:c>
      <x:c r="B64" s="14" t="str">
        <x:v>可访问性</x:v>
      </x:c>
      <x:c r="C64" s="14" t="str">
        <x:v>无障碍访问</x:v>
      </x:c>
      <x:c r="D64" s="14" t="str">
        <x:v>【YYQ个人网站】-可访问性测试案例集</x:v>
      </x:c>
      <x:c r="E64" s="15" t="str">
        <x:v>YYQ20260720012</x:v>
      </x:c>
      <x:c r="F64" s="15" t="str">
        <x:v>A11Y-003</x:v>
      </x:c>
      <x:c r="G64" s="13" t="str">
        <x:v>联系弹窗语义正确</x:v>
      </x:c>
      <x:c r="H64" s="16" t="str">
        <x:v>无障碍访问-联系弹窗语义正确</x:v>
      </x:c>
      <x:c r="I64" s="14" t="str">
        <x:v>正常案例</x:v>
      </x:c>
      <x:c r="J64" s="14" t="str">
        <x:v>执行测试</x:v>
      </x:c>
      <x:c r="K64" s="13" t="str">
        <x:v>1. 准备：屏幕阅读器开启
2. 打开联系弹窗并读取元素
3. 测试数据：NVDA</x:v>
      </x:c>
      <x:c r="L64" s="13" t="str">
        <x:v>弹窗具有 role=dialog、aria-modal=true，并通过 aria-labelledby 关联标题；关闭按钮有可访问名称</x:v>
      </x:c>
      <x:c r="M64" s="14" t="str">
        <x:v>杨烨齐</x:v>
      </x:c>
      <x:c r="N64" s="15" t="str">
        <x:v>YYQ-WEB
v0.1.22</x:v>
      </x:c>
      <x:c r="O64" s="15" t="str">
        <x:v>R-P0</x:v>
      </x:c>
    </x:row>
    <x:row r="65" ht="68" customHeight="1">
      <x:c r="A65" s="14" t="str">
        <x:v>YYQ个人网站</x:v>
      </x:c>
      <x:c r="B65" s="14" t="str">
        <x:v>可访问性</x:v>
      </x:c>
      <x:c r="C65" s="14" t="str">
        <x:v>无障碍访问</x:v>
      </x:c>
      <x:c r="D65" s="14" t="str">
        <x:v>【YYQ个人网站】-可访问性测试案例集</x:v>
      </x:c>
      <x:c r="E65" s="15" t="str">
        <x:v>YYQ20260720012</x:v>
      </x:c>
      <x:c r="F65" s="15" t="str">
        <x:v>A11Y-004</x:v>
      </x:c>
      <x:c r="G65" s="13" t="str">
        <x:v>装饰性图片不产生噪音</x:v>
      </x:c>
      <x:c r="H65" s="16" t="str">
        <x:v>无障碍访问-装饰性图片不产生噪音</x:v>
      </x:c>
      <x:c r="I65" s="14" t="str">
        <x:v>正常案例</x:v>
      </x:c>
      <x:c r="J65" s="14" t="str">
        <x:v>执行测试</x:v>
      </x:c>
      <x:c r="K65" s="13" t="str">
        <x:v>1. 准备：屏幕阅读器开启
2. 浏览整页内容</x:v>
      </x:c>
      <x:c r="L65" s="13" t="str">
        <x:v>季节背景、落叶、粒子和萤火虫被 aria-hidden 或使用空 alt，不被重复朗读</x:v>
      </x:c>
      <x:c r="M65" s="14" t="str">
        <x:v>杨烨齐</x:v>
      </x:c>
      <x:c r="N65" s="15" t="str">
        <x:v>YYQ-WEB
v0.1.22</x:v>
      </x:c>
      <x:c r="O65" s="15" t="str">
        <x:v>R-P2</x:v>
      </x:c>
    </x:row>
    <x:row r="66" ht="68" customHeight="1">
      <x:c r="A66" s="14" t="str">
        <x:v>YYQ个人网站</x:v>
      </x:c>
      <x:c r="B66" s="14" t="str">
        <x:v>可访问性</x:v>
      </x:c>
      <x:c r="C66" s="14" t="str">
        <x:v>无障碍访问</x:v>
      </x:c>
      <x:c r="D66" s="14" t="str">
        <x:v>【YYQ个人网站】-可访问性测试案例集</x:v>
      </x:c>
      <x:c r="E66" s="15" t="str">
        <x:v>YYQ20260720012</x:v>
      </x:c>
      <x:c r="F66" s="15" t="str">
        <x:v>A11Y-005</x:v>
      </x:c>
      <x:c r="G66" s="13" t="str">
        <x:v>页面缩放 200% 可用</x:v>
      </x:c>
      <x:c r="H66" s="16" t="str">
        <x:v>无障碍访问-页面缩放 200% 可用</x:v>
      </x:c>
      <x:c r="I66" s="14" t="str">
        <x:v>正常案例</x:v>
      </x:c>
      <x:c r="J66" s="14" t="str">
        <x:v>执行测试</x:v>
      </x:c>
      <x:c r="K66" s="13" t="str">
        <x:v>1. 准备：桌面浏览器
2. 将页面缩放至 200% 并浏览主要流程
3. 测试数据：200%</x:v>
      </x:c>
      <x:c r="L66" s="13" t="str">
        <x:v>文字不被裁切；主要功能可操作；除必要方向外无双向滚动</x:v>
      </x:c>
      <x:c r="M66" s="14" t="str">
        <x:v>杨烨齐</x:v>
      </x:c>
      <x:c r="N66" s="15" t="str">
        <x:v>YYQ-WEB
v0.1.22</x:v>
      </x:c>
      <x:c r="O66" s="15" t="str">
        <x:v>R-P1</x:v>
      </x:c>
    </x:row>
    <x:row r="67" ht="68" customHeight="1">
      <x:c r="A67" s="14" t="str">
        <x:v>YYQ个人网站</x:v>
      </x:c>
      <x:c r="B67" s="14" t="str">
        <x:v>可访问性</x:v>
      </x:c>
      <x:c r="C67" s="14" t="str">
        <x:v>无障碍访问</x:v>
      </x:c>
      <x:c r="D67" s="14" t="str">
        <x:v>【YYQ个人网站】-可访问性测试案例集</x:v>
      </x:c>
      <x:c r="E67" s="15" t="str">
        <x:v>YYQ20260720012</x:v>
      </x:c>
      <x:c r="F67" s="15" t="str">
        <x:v>A11Y-006</x:v>
      </x:c>
      <x:c r="G67" s="13" t="str">
        <x:v>减少动态效果偏好</x:v>
      </x:c>
      <x:c r="H67" s="16" t="str">
        <x:v>无障碍访问-减少动态效果偏好</x:v>
      </x:c>
      <x:c r="I67" s="14" t="str">
        <x:v>正常案例</x:v>
      </x:c>
      <x:c r="J67" s="14" t="str">
        <x:v>执行测试</x:v>
      </x:c>
      <x:c r="K67" s="13" t="str">
        <x:v>1. 准备：系统启用 prefers-reduced-motion
2. 刷新并滚动页面
3. 测试数据：reduce</x:v>
      </x:c>
      <x:c r="L67" s="13" t="str">
        <x:v>动画被减少或停止，不出现强制长时间移动；内容和功能仍完整可用</x:v>
      </x:c>
      <x:c r="M67" s="14" t="str">
        <x:v>杨烨齐</x:v>
      </x:c>
      <x:c r="N67" s="15" t="str">
        <x:v>YYQ-WEB
v0.1.22</x:v>
      </x:c>
      <x:c r="O67" s="15" t="str">
        <x:v>R-P1</x:v>
      </x:c>
    </x:row>
    <x:row r="68" ht="68" customHeight="1">
      <x:c r="A68" s="14" t="str">
        <x:v>YYQ个人网站</x:v>
      </x:c>
      <x:c r="B68" s="14" t="str">
        <x:v>发布验证</x:v>
      </x:c>
      <x:c r="C68" s="14" t="str">
        <x:v>发布部署</x:v>
      </x:c>
      <x:c r="D68" s="14" t="str">
        <x:v>【YYQ个人网站】-发布验证测试案例集</x:v>
      </x:c>
      <x:c r="E68" s="15" t="str">
        <x:v>YYQ20260720013</x:v>
      </x:c>
      <x:c r="F68" s="15" t="str">
        <x:v>REL-001</x:v>
      </x:c>
      <x:c r="G68" s="13" t="str">
        <x:v>TypeScript 类型检查通过</x:v>
      </x:c>
      <x:c r="H68" s="16" t="str">
        <x:v>发布部署-TypeScript 类型检查通过</x:v>
      </x:c>
      <x:c r="I68" s="14" t="str">
        <x:v>正常案例</x:v>
      </x:c>
      <x:c r="J68" s="14" t="str">
        <x:v>执行测试</x:v>
      </x:c>
      <x:c r="K68" s="13" t="str">
        <x:v>1. 准备：依赖已安装
2. 执行 npm run typecheck
3. 测试数据：Node.js 20+</x:v>
      </x:c>
      <x:c r="L68" s="13" t="str">
        <x:v>命令退出码为 0，无 TypeScript 错误</x:v>
      </x:c>
      <x:c r="M68" s="14" t="str">
        <x:v>杨烨齐</x:v>
      </x:c>
      <x:c r="N68" s="15" t="str">
        <x:v>YYQ-WEB
v0.1.22</x:v>
      </x:c>
      <x:c r="O68" s="15" t="str">
        <x:v>R-P0</x:v>
      </x:c>
    </x:row>
    <x:row r="69" ht="68" customHeight="1">
      <x:c r="A69" s="14" t="str">
        <x:v>YYQ个人网站</x:v>
      </x:c>
      <x:c r="B69" s="14" t="str">
        <x:v>发布验证</x:v>
      </x:c>
      <x:c r="C69" s="14" t="str">
        <x:v>发布部署</x:v>
      </x:c>
      <x:c r="D69" s="14" t="str">
        <x:v>【YYQ个人网站】-发布验证测试案例集</x:v>
      </x:c>
      <x:c r="E69" s="15" t="str">
        <x:v>YYQ20260720013</x:v>
      </x:c>
      <x:c r="F69" s="15" t="str">
        <x:v>REL-002</x:v>
      </x:c>
      <x:c r="G69" s="13" t="str">
        <x:v>生产构建成功</x:v>
      </x:c>
      <x:c r="H69" s="16" t="str">
        <x:v>发布部署-生产构建成功</x:v>
      </x:c>
      <x:c r="I69" s="14" t="str">
        <x:v>正常案例</x:v>
      </x:c>
      <x:c r="J69" s="14" t="str">
        <x:v>执行测试</x:v>
      </x:c>
      <x:c r="K69" s="13" t="str">
        <x:v>1. 准备：依赖已安装
2. 执行 npm run build
3. 测试数据：Node.js 20+</x:v>
      </x:c>
      <x:c r="L69" s="13" t="str">
        <x:v>命令退出码为 0；dist 生成；无构建错误；入口与静态资源被正确输出</x:v>
      </x:c>
      <x:c r="M69" s="14" t="str">
        <x:v>杨烨齐</x:v>
      </x:c>
      <x:c r="N69" s="15" t="str">
        <x:v>YYQ-WEB
v0.1.22</x:v>
      </x:c>
      <x:c r="O69" s="15" t="str">
        <x:v>R-P0</x:v>
      </x:c>
    </x:row>
    <x:row r="70" ht="68" customHeight="1">
      <x:c r="A70" s="14" t="str">
        <x:v>YYQ个人网站</x:v>
      </x:c>
      <x:c r="B70" s="14" t="str">
        <x:v>发布验证</x:v>
      </x:c>
      <x:c r="C70" s="14" t="str">
        <x:v>发布部署</x:v>
      </x:c>
      <x:c r="D70" s="14" t="str">
        <x:v>【YYQ个人网站】-发布验证测试案例集</x:v>
      </x:c>
      <x:c r="E70" s="15" t="str">
        <x:v>YYQ20260720013</x:v>
      </x:c>
      <x:c r="F70" s="15" t="str">
        <x:v>REL-003</x:v>
      </x:c>
      <x:c r="G70" s="13" t="str">
        <x:v>生产预览主要流程</x:v>
      </x:c>
      <x:c r="H70" s="16" t="str">
        <x:v>发布部署-生产预览主要流程</x:v>
      </x:c>
      <x:c r="I70" s="14" t="str">
        <x:v>正常案例</x:v>
      </x:c>
      <x:c r="J70" s="14" t="str">
        <x:v>执行测试</x:v>
      </x:c>
      <x:c r="K70" s="13" t="str">
        <x:v>1. 准备：已成功构建
2. 执行 npm run preview，访问预览地址并执行 P0 前台用例
3. 测试数据：Chrome 最新版</x:v>
      </x:c>
      <x:c r="L70" s="13" t="str">
        <x:v>首页、项目、履历、联系弹窗、下载均正常；控制台无阻断性错误</x:v>
      </x:c>
      <x:c r="M70" s="14" t="str">
        <x:v>杨烨齐</x:v>
      </x:c>
      <x:c r="N70" s="15" t="str">
        <x:v>YYQ-WEB
v0.1.22</x:v>
      </x:c>
      <x:c r="O70" s="15" t="str">
        <x:v>R-P0</x:v>
      </x:c>
    </x:row>
    <x:row r="71" ht="68" customHeight="1">
      <x:c r="A71" s="14" t="str">
        <x:v>YYQ个人网站</x:v>
      </x:c>
      <x:c r="B71" s="14" t="str">
        <x:v>发布验证</x:v>
      </x:c>
      <x:c r="C71" s="14" t="str">
        <x:v>发布部署</x:v>
      </x:c>
      <x:c r="D71" s="14" t="str">
        <x:v>【YYQ个人网站】-发布验证测试案例集</x:v>
      </x:c>
      <x:c r="E71" s="15" t="str">
        <x:v>YYQ20260720013</x:v>
      </x:c>
      <x:c r="F71" s="15" t="str">
        <x:v>REL-004</x:v>
      </x:c>
      <x:c r="G71" s="13" t="str">
        <x:v>多浏览器兼容</x:v>
      </x:c>
      <x:c r="H71" s="16" t="str">
        <x:v>发布部署-多浏览器兼容</x:v>
      </x:c>
      <x:c r="I71" s="14" t="str">
        <x:v>正常案例</x:v>
      </x:c>
      <x:c r="J71" s="14" t="str">
        <x:v>执行测试</x:v>
      </x:c>
      <x:c r="K71" s="13" t="str">
        <x:v>1. 准备：站点已部署
2. 在 Chrome、Edge、Firefox、Safari 各执行冒烟用例
3. 测试数据：各浏览器当前稳定版</x:v>
      </x:c>
      <x:c r="L71" s="13" t="str">
        <x:v>布局和主要功能一致；允许轻微字体/动画差异；无浏览器专属阻断问题</x:v>
      </x:c>
      <x:c r="M71" s="14" t="str">
        <x:v>杨烨齐</x:v>
      </x:c>
      <x:c r="N71" s="15" t="str">
        <x:v>YYQ-WEB
v0.1.22</x:v>
      </x:c>
      <x:c r="O71" s="15" t="str">
        <x:v>R-P1</x:v>
      </x:c>
    </x:row>
    <x:row r="72" ht="68" customHeight="1">
      <x:c r="A72" s="14" t="str">
        <x:v>YYQ个人网站</x:v>
      </x:c>
      <x:c r="B72" s="14" t="str">
        <x:v>发布验证</x:v>
      </x:c>
      <x:c r="C72" s="14" t="str">
        <x:v>发布部署</x:v>
      </x:c>
      <x:c r="D72" s="14" t="str">
        <x:v>【YYQ个人网站】-发布验证测试案例集</x:v>
      </x:c>
      <x:c r="E72" s="15" t="str">
        <x:v>YYQ20260720013</x:v>
      </x:c>
      <x:c r="F72" s="15" t="str">
        <x:v>REL-005</x:v>
      </x:c>
      <x:c r="G72" s="13" t="str">
        <x:v>页面资源请求完整</x:v>
      </x:c>
      <x:c r="H72" s="16" t="str">
        <x:v>发布部署-页面资源请求完整</x:v>
      </x:c>
      <x:c r="I72" s="14" t="str">
        <x:v>正常案例</x:v>
      </x:c>
      <x:c r="J72" s="14" t="str">
        <x:v>执行测试</x:v>
      </x:c>
      <x:c r="K72" s="13" t="str">
        <x:v>1. 准备：生产站点可访问
2. 清空缓存刷新，检查 Network 与 Console</x:v>
      </x:c>
      <x:c r="L72" s="13" t="str">
        <x:v>关键资源均成功；无 404、混合内容、CORS 或未处理异常；首屏图片优先加载，其余季节图延迟加载</x:v>
      </x:c>
      <x:c r="M72" s="14" t="str">
        <x:v>杨烨齐</x:v>
      </x:c>
      <x:c r="N72" s="15" t="str">
        <x:v>YYQ-WEB
v0.1.22</x:v>
      </x:c>
      <x:c r="O72" s="15" t="str">
        <x:v>R-P1</x:v>
      </x:c>
    </x:row>
    <x:row r="73" ht="68" customHeight="1">
      <x:c r="A73" s="14" t="str">
        <x:v>YYQ个人网站</x:v>
      </x:c>
      <x:c r="B73" s="14" t="str">
        <x:v>发布验证</x:v>
      </x:c>
      <x:c r="C73" s="14" t="str">
        <x:v>发布部署</x:v>
      </x:c>
      <x:c r="D73" s="14" t="str">
        <x:v>【YYQ个人网站】-发布验证测试案例集</x:v>
      </x:c>
      <x:c r="E73" s="15" t="str">
        <x:v>YYQ20260720013</x:v>
      </x:c>
      <x:c r="F73" s="15" t="str">
        <x:v>REL-006</x:v>
      </x:c>
      <x:c r="G73" s="13" t="str">
        <x:v>版本文件一致</x:v>
      </x:c>
      <x:c r="H73" s="16" t="str">
        <x:v>发布部署-版本文件一致</x:v>
      </x:c>
      <x:c r="I73" s="14" t="str">
        <x:v>正常案例</x:v>
      </x:c>
      <x:c r="J73" s="14" t="str">
        <x:v>执行测试</x:v>
      </x:c>
      <x:c r="K73" s="13" t="str">
        <x:v>1. 准备：准备发布版本
2. 比对 package.json、package-lock.json、VERSION 与 CHANGELOG.md
3. 测试数据：当前发布版本</x:v>
      </x:c>
      <x:c r="L73" s="13" t="str">
        <x:v>三个版本号一致，CHANGELOG 存在对应记录；README 状态未误导</x:v>
      </x:c>
      <x:c r="M73" s="14" t="str">
        <x:v>杨烨齐</x:v>
      </x:c>
      <x:c r="N73" s="15" t="str">
        <x:v>YYQ-WEB
v0.1.22</x:v>
      </x:c>
      <x:c r="O73" s="15" t="str">
        <x:v>R-P1</x:v>
      </x:c>
    </x:row>
    <x:row r="74" ht="68" customHeight="1">
      <x:c r="A74" s="14" t="str">
        <x:v>YYQ个人网站</x:v>
      </x:c>
      <x:c r="B74" s="14" t="str">
        <x:v>发布验证</x:v>
      </x:c>
      <x:c r="C74" s="14" t="str">
        <x:v>发布部署</x:v>
      </x:c>
      <x:c r="D74" s="14" t="str">
        <x:v>【YYQ个人网站】-发布验证测试案例集</x:v>
      </x:c>
      <x:c r="E74" s="15" t="str">
        <x:v>YYQ20260720013</x:v>
      </x:c>
      <x:c r="F74" s="15" t="str">
        <x:v>REL-007</x:v>
      </x:c>
      <x:c r="G74" s="13" t="str">
        <x:v>线上 GitHub Pages 冒烟</x:v>
      </x:c>
      <x:c r="H74" s="16" t="str">
        <x:v>发布部署-线上 GitHub Pages 冒烟</x:v>
      </x:c>
      <x:c r="I74" s="14" t="str">
        <x:v>正常案例</x:v>
      </x:c>
      <x:c r="J74" s="14" t="str">
        <x:v>执行测试</x:v>
      </x:c>
      <x:c r="K74" s="13" t="str">
        <x:v>1. 准备：gh-pages 部署完成
2. 访问生产地址并执行 WEB-001、PRJ-001、CON-001、FILE-001、FILE-003
3. 测试数据：https://mrxiaoxies.github.io/YYQ-Personal-web/</x:v>
      </x:c>
      <x:c r="L74" s="13" t="str">
        <x:v>线上页面与本次构建一致；关键流程通过；刷新锚点不出现 404</x:v>
      </x:c>
      <x:c r="M74" s="14" t="str">
        <x:v>杨烨齐</x:v>
      </x:c>
      <x:c r="N74" s="15" t="str">
        <x:v>YYQ-WEB
v0.1.22</x:v>
      </x:c>
      <x:c r="O74" s="15" t="str">
        <x:v>R-P0</x:v>
      </x:c>
    </x:row>
  </x:sheetData>
  <x:pageMargins left="0.7" right="0.7" top="0.75" bottom="0.75" header="0.3" footer="0.3"/>
  <x:tableParts count="1">
    <x:tablePart xmlns:r="http://schemas.openxmlformats.org/officeDocument/2006/relationships" r:id="R759f269db4f245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4" hidden="0" customWidth="1"/>
    <x:col min="4" max="4" width="18" hidden="0" customWidth="1"/>
    <x:col min="5" max="5" width="14" hidden="0" customWidth="1"/>
    <x:col min="6" max="6" width="30" hidden="0" customWidth="1"/>
  </x:cols>
  <x:sheetData>
    <x:row r="1" ht="38" customHeight="1">
      <x:c r="A1" s="26" t="str">
        <x:v>YYQ个人网站测试案例汇总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 ht="28" customHeight="1">
      <x:c r="A3" s="28" t="str">
        <x:v>统计项</x:v>
      </x:c>
      <x:c r="B3" s="28" t="str">
        <x:v>数量</x:v>
      </x:c>
      <x:c r="C3" s="27"/>
      <x:c r="D3" s="28" t="str">
        <x:v>风险编号</x:v>
      </x:c>
      <x:c r="E3" s="28" t="str">
        <x:v>数量</x:v>
      </x:c>
      <x:c r="F3" s="28" t="str">
        <x:v>执行建议</x:v>
      </x:c>
    </x:row>
    <x:row r="4" ht="28" customHeight="1">
      <x:c r="A4" s="29" t="str">
        <x:v>案例总数</x:v>
      </x:c>
      <x:c r="B4" s="29" t="n">
        <x:f>COUNTA('个人网站系统'!$F$2:$F$74)</x:f>
        <x:v>73</x:v>
      </x:c>
      <x:c r="C4" s="27"/>
      <x:c r="D4" s="29" t="str">
        <x:v>R-P0</x:v>
      </x:c>
      <x:c r="E4" s="29" t="n">
        <x:f>COUNTIF('个人网站系统'!$O$2:$O$74,D4)</x:f>
        <x:v>23</x:v>
      </x:c>
      <x:c r="F4" s="29" t="str">
        <x:v>每次发布前必须执行</x:v>
      </x:c>
    </x:row>
    <x:row r="5" ht="28" customHeight="1">
      <x:c r="A5" s="29" t="str">
        <x:v>正常案例</x:v>
      </x:c>
      <x:c r="B5" s="29" t="n">
        <x:f>COUNTIF('个人网站系统'!$I$2:$I$74,"正常案例")</x:f>
        <x:v>64</x:v>
      </x:c>
      <x:c r="C5" s="27"/>
      <x:c r="D5" s="29" t="str">
        <x:v>R-P1</x:v>
      </x:c>
      <x:c r="E5" s="29" t="n">
        <x:f>COUNTIF('个人网站系统'!$O$2:$O$74,D5)</x:f>
        <x:v>41</x:v>
      </x:c>
      <x:c r="F5" s="29" t="str">
        <x:v>完整回归时执行</x:v>
      </x:c>
    </x:row>
    <x:row r="6" ht="28" customHeight="1">
      <x:c r="A6" s="29" t="str">
        <x:v>异常案例</x:v>
      </x:c>
      <x:c r="B6" s="29" t="n">
        <x:f>COUNTIF('个人网站系统'!$I$2:$I$74,"异常案例")</x:f>
        <x:v>9</x:v>
      </x:c>
      <x:c r="C6" s="27"/>
      <x:c r="D6" s="29" t="str">
        <x:v>R-P2</x:v>
      </x:c>
      <x:c r="E6" s="29" t="n">
        <x:f>COUNTIF('个人网站系统'!$O$2:$O$74,D6)</x:f>
        <x:v>9</x:v>
      </x:c>
      <x:c r="F6" s="29" t="str">
        <x:v>专项或时间允许时执行</x:v>
      </x:c>
    </x:row>
    <x:row r="7" ht="28" customHeight="1">
      <x:c r="A7" s="29" t="str">
        <x:v>P0 高风险</x:v>
      </x:c>
      <x:c r="B7" s="29" t="n">
        <x:f>COUNTIF('个人网站系统'!$O$2:$O$74,"R-P0")</x:f>
        <x:v>23</x:v>
      </x:c>
      <x:c r="C7" s="27"/>
      <x:c r="D7" s="27"/>
      <x:c r="E7" s="27"/>
      <x:c r="F7" s="27"/>
    </x:row>
    <x:row r="8" ht="28" customHeight="1">
      <x:c r="A8" s="29" t="str">
        <x:v>P1/P2 回归</x:v>
      </x:c>
      <x:c r="B8" s="29" t="n">
        <x:f>COUNTIF('个人网站系统'!$O$2:$O$74,"R-P1")+COUNTIF('个人网站系统'!$O$2:$O$74,"R-P2")</x:f>
        <x:v>50</x:v>
      </x:c>
      <x:c r="C8" s="27"/>
      <x:c r="D8" s="27"/>
      <x:c r="E8" s="27"/>
      <x:c r="F8" s="27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30" hidden="0" customWidth="1"/>
  </x:cols>
  <x:sheetData>
    <x:row r="1" ht="38" customHeight="1">
      <x:c r="A1" s="26" t="str">
        <x:v>标准格式编写说明</x:v>
      </x:c>
      <x:c r="B1" s="26"/>
      <x:c r="C1" s="26"/>
      <x:c r="D1" s="26"/>
    </x:row>
    <x:row r="2">
      <x:c r="A2" s="27"/>
      <x:c r="B2" s="27"/>
      <x:c r="C2" s="27"/>
      <x:c r="D2" s="27"/>
    </x:row>
    <x:row r="3" ht="30" customHeight="1">
      <x:c r="A3" s="34" t="str">
        <x:v>字段</x:v>
      </x:c>
      <x:c r="B3" s="34" t="str">
        <x:v>填写规则</x:v>
      </x:c>
      <x:c r="C3" s="34" t="str">
        <x:v>本工作簿取值</x:v>
      </x:c>
      <x:c r="D3" s="34" t="str">
        <x:v>备注</x:v>
      </x:c>
    </x:row>
    <x:row r="4" ht="45" customHeight="1">
      <x:c r="A4" s="35" t="str">
        <x:v>测试需求编号</x:v>
      </x:c>
      <x:c r="B4" s="35" t="str">
        <x:v>同一功能模块使用同一需求编号</x:v>
      </x:c>
      <x:c r="C4" s="35" t="str">
        <x:v>YYQ20260720001～013</x:v>
      </x:c>
      <x:c r="D4" s="35" t="str">
        <x:v>用于按模块追踪需求</x:v>
      </x:c>
    </x:row>
    <x:row r="5" ht="45" customHeight="1">
      <x:c r="A5" s="35" t="str">
        <x:v>案例编号</x:v>
      </x:c>
      <x:c r="B5" s="35" t="str">
        <x:v>每条案例唯一</x:v>
      </x:c>
      <x:c r="C5" s="35" t="str">
        <x:v>保留原编号，如 WEB-001</x:v>
      </x:c>
      <x:c r="D5" s="35" t="str">
        <x:v>便于与旧版用例对应</x:v>
      </x:c>
    </x:row>
    <x:row r="6" ht="45" customHeight="1">
      <x:c r="A6" s="35" t="str">
        <x:v>案例性质</x:v>
      </x:c>
      <x:c r="B6" s="35" t="str">
        <x:v>正常案例或异常案例</x:v>
      </x:c>
      <x:c r="C6" s="35" t="str">
        <x:v>安全、异常类归为异常案例</x:v>
      </x:c>
      <x:c r="D6" s="35" t="str">
        <x:v>其余归为正常案例</x:v>
      </x:c>
    </x:row>
    <x:row r="7" ht="45" customHeight="1">
      <x:c r="A7" s="35" t="str">
        <x:v>步骤描述</x:v>
      </x:c>
      <x:c r="B7" s="35" t="str">
        <x:v>按序号描述准备、操作和测试数据</x:v>
      </x:c>
      <x:c r="C7" s="35" t="str">
        <x:v>由原前置条件、测试步骤、测试数据重排</x:v>
      </x:c>
      <x:c r="D7" s="35" t="str">
        <x:v>与截图格式一致</x:v>
      </x:c>
    </x:row>
    <x:row r="8" ht="45" customHeight="1">
      <x:c r="A8" s="35" t="str">
        <x:v>案例编写人</x:v>
      </x:c>
      <x:c r="B8" s="35" t="str">
        <x:v>填写维护人</x:v>
      </x:c>
      <x:c r="C8" s="35" t="str">
        <x:v>杨烨齐</x:v>
      </x:c>
      <x:c r="D8" s="35" t="str">
        <x:v>可按团队要求替换</x:v>
      </x:c>
    </x:row>
    <x:row r="9" ht="45" customHeight="1">
      <x:c r="A9" s="35" t="str">
        <x:v>实施单元编号</x:v>
      </x:c>
      <x:c r="B9" s="35" t="str">
        <x:v>标识本次版本或实施单元</x:v>
      </x:c>
      <x:c r="C9" s="35" t="str">
        <x:v>YYQ-WEB v0.1.22</x:v>
      </x:c>
      <x:c r="D9" s="35" t="str">
        <x:v>当前网站版本基线</x:v>
      </x:c>
    </x:row>
    <x:row r="10" ht="45" customHeight="1">
      <x:c r="A10" s="35" t="str">
        <x:v>风险编号</x:v>
      </x:c>
      <x:c r="B10" s="35" t="str">
        <x:v>由原优先级映射</x:v>
      </x:c>
      <x:c r="C10" s="35" t="str">
        <x:v>P0→R-P0，P1→R-P1，P2→R-P2</x:v>
      </x:c>
      <x:c r="D10" s="35" t="str">
        <x:v>发布时优先执行 R-P0</x:v>
      </x:c>
    </x:row>
  </x:sheetData>
  <x:mergeCells>
    <x:mergeCell ref="A1:D1"/>
  </x:mergeCells>
  <x:pageMargins left="0.7" right="0.7" top="0.75" bottom="0.75" header="0.3" footer="0.3"/>
</x:worksheet>
</file>